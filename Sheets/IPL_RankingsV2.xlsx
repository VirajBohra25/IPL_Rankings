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4.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ormance Dashboard" sheetId="1" r:id="rId5"/>
    <sheet state="visible" name="VFM" sheetId="2" r:id="rId6"/>
    <sheet state="visible" name="2022_Stats" sheetId="3" r:id="rId7"/>
    <sheet state="visible" name="All_Stats" sheetId="4" r:id="rId8"/>
    <sheet state="hidden" name="2022_Pivot" sheetId="5" r:id="rId9"/>
    <sheet state="visible" name="2023_Stats" sheetId="6" r:id="rId10"/>
    <sheet state="hidden" name="2023_pivot" sheetId="7" r:id="rId11"/>
    <sheet state="hidden" name="Dashboard" sheetId="8" r:id="rId12"/>
    <sheet state="hidden" name="Pivot Table 5" sheetId="9" r:id="rId13"/>
    <sheet state="hidden" name="Batting" sheetId="10" r:id="rId14"/>
    <sheet state="hidden" name="Bowling" sheetId="11" r:id="rId15"/>
  </sheets>
  <definedNames>
    <definedName hidden="1" localSheetId="1" name="_xlnm._FilterDatabase">VFM!$D$1:$D$1000</definedName>
    <definedName hidden="1" localSheetId="9" name="_xlnm._FilterDatabase">Batting!$D$1:$D$1000</definedName>
    <definedName hidden="1" localSheetId="10" name="_xlnm._FilterDatabase">Bowling!$D$1:$D$1000</definedName>
    <definedName hidden="1" localSheetId="2" name="Z_F195BC59_38E5_45A5_8734_2EBC7DC3144C_.wvu.FilterData">'2022_Stats'!$A$1:$Q$21</definedName>
    <definedName hidden="1" localSheetId="2" name="Z_F195BC59_38E5_45A5_8734_2EBC7DC3144C_.wvu.FilterData">'2022_Stats'!$A$1:$Q$21</definedName>
    <definedName hidden="1" localSheetId="5" name="Z_F195BC59_38E5_45A5_8734_2EBC7DC3144C_.wvu.FilterData">'2023_Stats'!$A$1:$Q$21</definedName>
    <definedName hidden="1" localSheetId="5" name="Z_F195BC59_38E5_45A5_8734_2EBC7DC3144C_.wvu.FilterData">'2023_Stats'!$A$1:$Q$21</definedName>
    <definedName hidden="1" localSheetId="2" name="Z_2633E81B_C241_4F83_BA97_7F3E629AD7DB_.wvu.FilterData">'2022_Stats'!$A$1:$Q$21</definedName>
    <definedName hidden="1" localSheetId="2" name="Z_2633E81B_C241_4F83_BA97_7F3E629AD7DB_.wvu.FilterData">'2022_Stats'!$A$1:$Q$21</definedName>
    <definedName hidden="1" localSheetId="2" name="Z_2633E81B_C241_4F83_BA97_7F3E629AD7DB_.wvu.FilterData">'2022_Stats'!$A$1:$Q$21</definedName>
    <definedName hidden="1" localSheetId="5" name="Z_2633E81B_C241_4F83_BA97_7F3E629AD7DB_.wvu.FilterData">'2023_Stats'!$A$1:$Q$21</definedName>
    <definedName hidden="1" localSheetId="5" name="Z_2633E81B_C241_4F83_BA97_7F3E629AD7DB_.wvu.FilterData">'2023_Stats'!$A$1:$Q$21</definedName>
    <definedName hidden="1" localSheetId="5" name="Z_2633E81B_C241_4F83_BA97_7F3E629AD7DB_.wvu.FilterData">'2023_Stats'!$A$1:$Q$21</definedName>
    <definedName hidden="1" localSheetId="3" name="Z_2633E81B_C241_4F83_BA97_7F3E629AD7DB_.wvu.FilterData">All_Stats!$A$1:$Q$41</definedName>
    <definedName name="SlicerCache_Table_1_Col_1">#N/A</definedName>
    <definedName name="SlicerCache_Table_1_Col_2">#N/A</definedName>
    <definedName name="SlicerCache_Table_2_Col_1">#N/A</definedName>
    <definedName name="SlicerCache_Table_2_Col_2">#N/A</definedName>
    <definedName name="SlicerCache_Table_3_Col_2">#N/A</definedName>
    <definedName name="SlicerCache_Table_3_Col_4">#N/A</definedName>
  </definedNames>
  <calcPr/>
  <customWorkbookViews>
    <customWorkbookView activeSheetId="0" maximized="1" windowHeight="0" windowWidth="0" guid="{F195BC59-38E5-45A5-8734-2EBC7DC3144C}" name="Filter 2"/>
    <customWorkbookView activeSheetId="0" maximized="1" windowHeight="0" windowWidth="0" guid="{2633E81B-C241-4F83-BA97-7F3E629AD7DB}" name="Filter 1"/>
  </customWorkbookViews>
  <pivotCaches>
    <pivotCache cacheId="0" r:id="rId16"/>
    <pivotCache cacheId="1" r:id="rId17"/>
  </pivotCaches>
  <extLst>
    <ext uri="{46BE6895-7355-4a93-B00E-2C351335B9C9}">
      <x15:slicerCaches>
        <x14:slicerCache r:id="rId18"/>
        <x14:slicerCache r:id="rId19"/>
        <x14:slicerCache r:id="rId20"/>
        <x14:slicerCache r:id="rId21"/>
        <x14:slicerCache r:id="rId22"/>
        <x14:slicerCache r:id="rId23"/>
      </x15:slicerCaches>
    </ext>
  </extLst>
</workbook>
</file>

<file path=xl/sharedStrings.xml><?xml version="1.0" encoding="utf-8"?>
<sst xmlns="http://schemas.openxmlformats.org/spreadsheetml/2006/main" count="774" uniqueCount="61">
  <si>
    <t>player_name</t>
  </si>
  <si>
    <t>player_role</t>
  </si>
  <si>
    <t>team</t>
  </si>
  <si>
    <t>season</t>
  </si>
  <si>
    <t>sold_price_cr</t>
  </si>
  <si>
    <t>rating(percentile)</t>
  </si>
  <si>
    <t>IPL_RANK</t>
  </si>
  <si>
    <t>valueformoney(rating out of 100)</t>
  </si>
  <si>
    <t>stars</t>
  </si>
  <si>
    <t>Deepak Nair</t>
  </si>
  <si>
    <t>Bowler</t>
  </si>
  <si>
    <t>Hyderabad Hawks</t>
  </si>
  <si>
    <t>5 - Steal_Buy</t>
  </si>
  <si>
    <t>Priya Singh</t>
  </si>
  <si>
    <t>Kolkata Knights</t>
  </si>
  <si>
    <t>Suresh Rao</t>
  </si>
  <si>
    <t>Chennai Tigers</t>
  </si>
  <si>
    <t>Ankit Verma</t>
  </si>
  <si>
    <t>Batsman</t>
  </si>
  <si>
    <t>Kiran Mehta</t>
  </si>
  <si>
    <t>Mumbai Lions</t>
  </si>
  <si>
    <t>Chris Blake</t>
  </si>
  <si>
    <t>Delhi Dynamos</t>
  </si>
  <si>
    <t>Tom Sullivan</t>
  </si>
  <si>
    <t>Rajasthan Riders</t>
  </si>
  <si>
    <t>Luca Ferreira</t>
  </si>
  <si>
    <t>All-Rounder</t>
  </si>
  <si>
    <t>4 - Good_Buy</t>
  </si>
  <si>
    <t>Vikram Das</t>
  </si>
  <si>
    <t>Praveen Joshi</t>
  </si>
  <si>
    <t>Nathan Ford</t>
  </si>
  <si>
    <t>Punjab Royals</t>
  </si>
  <si>
    <t>3 - Fair_Buy</t>
  </si>
  <si>
    <t>Raj Sharma</t>
  </si>
  <si>
    <t>Arjun Patel</t>
  </si>
  <si>
    <t>Hamid Shaikh</t>
  </si>
  <si>
    <t>James Tanner</t>
  </si>
  <si>
    <t>Carlos Mendez</t>
  </si>
  <si>
    <t>Rohan Gill</t>
  </si>
  <si>
    <t>2 - Overpriced</t>
  </si>
  <si>
    <t>Brendon Chase</t>
  </si>
  <si>
    <t>Marco de Bruyn</t>
  </si>
  <si>
    <t>1 - Poor Buy</t>
  </si>
  <si>
    <t>Sanjay Kumar</t>
  </si>
  <si>
    <t>runs</t>
  </si>
  <si>
    <t>average</t>
  </si>
  <si>
    <t>strike_rate</t>
  </si>
  <si>
    <t>bdry_pct</t>
  </si>
  <si>
    <t>wickets</t>
  </si>
  <si>
    <t>economy</t>
  </si>
  <si>
    <t>wkt_per_match</t>
  </si>
  <si>
    <t>dot_ball_pct</t>
  </si>
  <si>
    <t>AVERAGE of valueformoney(rating out of 100)</t>
  </si>
  <si>
    <t>AVERAGE of rating(percentile)</t>
  </si>
  <si>
    <t>AVERAGE of sold_price_cr</t>
  </si>
  <si>
    <t>MIN of IPL_RANK</t>
  </si>
  <si>
    <t>PLAYER PERFORMANCE DASHBOARD</t>
  </si>
  <si>
    <t>matches</t>
  </si>
  <si>
    <t>dot_pct</t>
  </si>
  <si>
    <t>PLAYER PERFORMANCE AND RANKINGS</t>
  </si>
  <si>
    <t>PLAYER RANKINGS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</si>
</sst>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Arial"/>
    </font>
    <font>
      <sz val="10.0"/>
      <color rgb="FF000000"/>
      <name val="Arial"/>
    </font>
    <font>
      <b/>
      <sz val="36.0"/>
      <color rgb="FFFFFFFF"/>
      <name val="Roboto Serif"/>
    </font>
    <font/>
    <font>
      <b/>
      <sz val="35.0"/>
      <color rgb="FFFFFFFF"/>
      <name val="Arial"/>
    </font>
    <font>
      <sz val="38.0"/>
      <color rgb="FFFFFFFF"/>
      <name val="EB Garamond"/>
    </font>
    <font>
      <b/>
      <sz val="37.0"/>
      <color rgb="FFFFFFFF"/>
      <name val="Roboto Serif"/>
    </font>
    <font>
      <color theme="1"/>
      <name val="Arial"/>
      <scheme val="minor"/>
    </font>
  </fonts>
  <fills count="5">
    <fill>
      <patternFill patternType="none"/>
    </fill>
    <fill>
      <patternFill patternType="lightGray"/>
    </fill>
    <fill>
      <patternFill patternType="solid">
        <fgColor rgb="FF434343"/>
        <bgColor rgb="FF434343"/>
      </patternFill>
    </fill>
    <fill>
      <patternFill patternType="solid">
        <fgColor rgb="FF666666"/>
        <bgColor rgb="FF666666"/>
      </patternFill>
    </fill>
    <fill>
      <patternFill patternType="solid">
        <fgColor rgb="FFFFFFFF"/>
        <bgColor rgb="FFFFFFFF"/>
      </patternFill>
    </fill>
  </fills>
  <borders count="22">
    <border/>
    <border>
      <left style="thin">
        <color rgb="FF000000"/>
      </left>
      <top style="thin">
        <color rgb="FF000000"/>
      </top>
    </border>
    <border>
      <left style="thin">
        <color rgb="FFFFFFFF"/>
      </left>
      <top style="thin">
        <color rgb="FF000000"/>
      </top>
    </border>
    <border>
      <left style="thin">
        <color rgb="FFFFFFFF"/>
      </left>
      <right style="thin">
        <color rgb="FF000000"/>
      </right>
      <top style="thin">
        <color rgb="FF000000"/>
      </top>
    </border>
    <border>
      <top style="thin">
        <color rgb="FF000000"/>
      </top>
    </border>
    <border>
      <right style="thin">
        <color rgb="FF000000"/>
      </right>
      <top style="thin">
        <color rgb="FF000000"/>
      </top>
    </border>
    <border>
      <left style="thin">
        <color rgb="FF000000"/>
      </left>
      <top style="thin">
        <color rgb="FFFFFFFF"/>
      </top>
    </border>
    <border>
      <left style="thin">
        <color rgb="FF000000"/>
      </left>
    </border>
    <border>
      <right style="thin">
        <color rgb="FF000000"/>
      </right>
    </border>
    <border>
      <left style="thin">
        <color rgb="FF000000"/>
      </left>
      <top style="thin">
        <color rgb="FFFFFFFF"/>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top/>
    </border>
    <border>
      <top/>
    </border>
    <border>
      <right/>
      <top/>
    </border>
    <border>
      <left/>
      <right/>
      <top/>
      <bottom/>
    </border>
    <border>
      <left/>
    </border>
    <border>
      <right/>
    </border>
    <border>
      <left/>
      <bottom/>
    </border>
    <border>
      <bottom/>
    </border>
    <border>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0" fillId="0" fontId="2" numFmtId="0" xfId="0"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2" fontId="3" numFmtId="0" xfId="0" applyAlignment="1" applyBorder="1" applyFill="1" applyFont="1">
      <alignment horizontal="center"/>
    </xf>
    <xf borderId="14" fillId="0" fontId="4" numFmtId="0" xfId="0" applyBorder="1" applyFont="1"/>
    <xf borderId="15" fillId="0" fontId="4" numFmtId="0" xfId="0" applyBorder="1" applyFont="1"/>
    <xf borderId="16" fillId="2" fontId="5" numFmtId="0" xfId="0" applyAlignment="1" applyBorder="1" applyFill="1" applyFont="1">
      <alignment horizontal="center"/>
    </xf>
    <xf borderId="16" fillId="2" fontId="1" numFmtId="0" xfId="0" applyBorder="1" applyFill="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16" fillId="3" fontId="6" numFmtId="0" xfId="0" applyAlignment="1" applyBorder="1" applyFill="1" applyFont="1">
      <alignment horizontal="center"/>
    </xf>
    <xf borderId="16" fillId="4" fontId="1" numFmtId="0" xfId="0" applyBorder="1" applyFill="1" applyFont="1"/>
    <xf borderId="16" fillId="3" fontId="1" numFmtId="0" xfId="0" applyBorder="1" applyFill="1" applyFont="1"/>
    <xf borderId="16" fillId="3" fontId="7" numFmtId="0" xfId="0" applyAlignment="1" applyBorder="1" applyFill="1" applyFont="1">
      <alignment horizontal="center"/>
    </xf>
    <xf borderId="0" fillId="4" fontId="8"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3.xml"/><Relationship Id="rId11" Type="http://schemas.openxmlformats.org/officeDocument/2006/relationships/worksheet" Target="worksheets/sheet7.xml"/><Relationship Id="rId22" Type="http://schemas.microsoft.com/office/2007/relationships/slicerCache" Target="slicerCaches/slicerCache5.xml"/><Relationship Id="rId10" Type="http://schemas.openxmlformats.org/officeDocument/2006/relationships/worksheet" Target="worksheets/sheet6.xml"/><Relationship Id="rId21" Type="http://schemas.microsoft.com/office/2007/relationships/slicerCache" Target="slicerCaches/slicerCache4.xml"/><Relationship Id="rId13" Type="http://schemas.openxmlformats.org/officeDocument/2006/relationships/worksheet" Target="worksheets/sheet9.xml"/><Relationship Id="rId12" Type="http://schemas.openxmlformats.org/officeDocument/2006/relationships/worksheet" Target="worksheets/sheet8.xml"/><Relationship Id="rId23" Type="http://schemas.microsoft.com/office/2007/relationships/slicerCache" Target="slicerCaches/slicerCache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19" Type="http://schemas.microsoft.com/office/2007/relationships/slicerCache" Target="slicerCaches/slicerCache2.xml"/><Relationship Id="rId6" Type="http://schemas.openxmlformats.org/officeDocument/2006/relationships/worksheet" Target="worksheets/sheet2.xml"/><Relationship Id="rId18" Type="http://schemas.microsoft.com/office/2007/relationships/slicerCache" Target="slicerCaches/slicerCache1.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666666"/>
                </a:solidFill>
                <a:latin typeface="+mn-lt"/>
              </a:defRPr>
            </a:pPr>
            <a:r>
              <a:rPr b="0">
                <a:solidFill>
                  <a:srgbClr val="666666"/>
                </a:solidFill>
                <a:latin typeface="+mn-lt"/>
              </a:rPr>
              <a:t>Value For Money Ratings</a:t>
            </a:r>
          </a:p>
        </c:rich>
      </c:tx>
      <c:overlay val="0"/>
    </c:title>
    <c:plotArea>
      <c:layout/>
      <c:barChart>
        <c:barDir val="bar"/>
        <c:ser>
          <c:idx val="0"/>
          <c:order val="0"/>
          <c:tx>
            <c:strRef>
              <c:f>All_Stats!$G$1</c:f>
            </c:strRef>
          </c:tx>
          <c:spPr>
            <a:solidFill>
              <a:schemeClr val="accent1"/>
            </a:solidFill>
            <a:ln cmpd="sng">
              <a:noFill/>
            </a:ln>
          </c:spPr>
          <c:cat>
            <c:strRef>
              <c:f>All_Stats!$A$2:$A$41</c:f>
            </c:strRef>
          </c:cat>
          <c:val>
            <c:numRef>
              <c:f>All_Stats!$G$2:$G$41</c:f>
              <c:numCache/>
            </c:numRef>
          </c:val>
        </c:ser>
        <c:axId val="1684591996"/>
        <c:axId val="1891296674"/>
      </c:barChart>
      <c:catAx>
        <c:axId val="16845919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1296674"/>
      </c:catAx>
      <c:valAx>
        <c:axId val="18912966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4591996"/>
        <c:crosses val="max"/>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666666"/>
                </a:solidFill>
                <a:latin typeface="+mn-lt"/>
              </a:defRPr>
            </a:pPr>
            <a:r>
              <a:rPr b="0">
                <a:solidFill>
                  <a:srgbClr val="666666"/>
                </a:solidFill>
                <a:latin typeface="+mn-lt"/>
              </a:rPr>
              <a:t>Value For Money Ratings</a:t>
            </a:r>
          </a:p>
        </c:rich>
      </c:tx>
      <c:overlay val="0"/>
    </c:title>
    <c:plotArea>
      <c:layout/>
      <c:barChart>
        <c:barDir val="bar"/>
        <c:ser>
          <c:idx val="0"/>
          <c:order val="0"/>
          <c:tx>
            <c:strRef>
              <c:f>All_Stats!$G$1</c:f>
            </c:strRef>
          </c:tx>
          <c:spPr>
            <a:solidFill>
              <a:schemeClr val="accent1"/>
            </a:solidFill>
            <a:ln cmpd="sng">
              <a:noFill/>
            </a:ln>
          </c:spPr>
          <c:cat>
            <c:strRef>
              <c:f>All_Stats!$A$2:$A$41</c:f>
            </c:strRef>
          </c:cat>
          <c:val>
            <c:numRef>
              <c:f>All_Stats!$G$2:$G$41</c:f>
              <c:numCache/>
            </c:numRef>
          </c:val>
        </c:ser>
        <c:axId val="1602503607"/>
        <c:axId val="645888834"/>
      </c:barChart>
      <c:catAx>
        <c:axId val="160250360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5888834"/>
      </c:catAx>
      <c:valAx>
        <c:axId val="6458888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2503607"/>
        <c:crosses val="max"/>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IPL 2022 Player Value Ranking</a:t>
            </a:r>
          </a:p>
        </c:rich>
      </c:tx>
      <c:overlay val="0"/>
    </c:title>
    <c:plotArea>
      <c:layout/>
      <c:barChart>
        <c:barDir val="bar"/>
        <c:ser>
          <c:idx val="0"/>
          <c:order val="0"/>
          <c:tx>
            <c:v>valueformoney(rating out of 100)</c:v>
          </c:tx>
          <c:spPr>
            <a:solidFill>
              <a:schemeClr val="accent1"/>
            </a:solidFill>
            <a:ln cmpd="sng">
              <a:noFill/>
            </a:ln>
          </c:spPr>
          <c:cat>
            <c:strRef>
              <c:f>'2022_Stats'!$A$2:$A$21</c:f>
            </c:strRef>
          </c:cat>
          <c:val>
            <c:numRef>
              <c:f>'2022_Stats'!$G$2:$G$21</c:f>
              <c:numCache/>
            </c:numRef>
          </c:val>
        </c:ser>
        <c:axId val="692328939"/>
        <c:axId val="452169729"/>
      </c:barChart>
      <c:catAx>
        <c:axId val="692328939"/>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52169729"/>
      </c:catAx>
      <c:valAx>
        <c:axId val="4521697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692328939"/>
        <c:crosses val="max"/>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Price Paid vs Performance 2022</a:t>
            </a:r>
          </a:p>
        </c:rich>
      </c:tx>
      <c:overlay val="0"/>
    </c:title>
    <c:plotArea>
      <c:layout/>
      <c:bubbleChart>
        <c:ser>
          <c:idx val="0"/>
          <c:order val="0"/>
          <c:tx>
            <c:strRef>
              <c:f>'2022_Stats'!$E$2</c:f>
            </c:strRef>
          </c:tx>
          <c:dLbls>
            <c:dLblPos val="ctr"/>
            <c:showLegendKey val="0"/>
            <c:showVal val="0"/>
            <c:showCatName val="0"/>
            <c:showSerName val="1"/>
            <c:showPercent val="0"/>
            <c:showBubbleSize val="0"/>
          </c:dLbls>
          <c:xVal>
            <c:strRef>
              <c:f>'2022_Stats'!$F$2</c:f>
            </c:strRef>
          </c:xVal>
          <c:yVal>
            <c:numRef>
              <c:f>'2022_Stats'!$A$2</c:f>
              <c:numCache/>
            </c:numRef>
          </c:yVal>
          <c:bubbleSize>
            <c:numLit>
              <c:ptCount val="1"/>
              <c:pt idx="0">
                <c:v>1</c:v>
              </c:pt>
            </c:numLit>
          </c:bubbleSize>
        </c:ser>
        <c:ser>
          <c:idx val="1"/>
          <c:order val="1"/>
          <c:tx>
            <c:strRef>
              <c:f>'2022_Stats'!$E$3</c:f>
            </c:strRef>
          </c:tx>
          <c:dLbls>
            <c:dLblPos val="ctr"/>
            <c:showLegendKey val="0"/>
            <c:showVal val="0"/>
            <c:showCatName val="0"/>
            <c:showSerName val="1"/>
            <c:showPercent val="0"/>
            <c:showBubbleSize val="0"/>
          </c:dLbls>
          <c:xVal>
            <c:strRef>
              <c:f>'2022_Stats'!$F$3</c:f>
            </c:strRef>
          </c:xVal>
          <c:yVal>
            <c:numRef>
              <c:f>'2022_Stats'!$A$3</c:f>
              <c:numCache/>
            </c:numRef>
          </c:yVal>
          <c:bubbleSize>
            <c:numLit>
              <c:ptCount val="1"/>
              <c:pt idx="0">
                <c:v>1</c:v>
              </c:pt>
            </c:numLit>
          </c:bubbleSize>
        </c:ser>
        <c:ser>
          <c:idx val="2"/>
          <c:order val="2"/>
          <c:tx>
            <c:strRef>
              <c:f>'2022_Stats'!$E$4</c:f>
            </c:strRef>
          </c:tx>
          <c:dLbls>
            <c:dLblPos val="ctr"/>
            <c:showLegendKey val="0"/>
            <c:showVal val="0"/>
            <c:showCatName val="0"/>
            <c:showSerName val="1"/>
            <c:showPercent val="0"/>
            <c:showBubbleSize val="0"/>
          </c:dLbls>
          <c:xVal>
            <c:strRef>
              <c:f>'2022_Stats'!$F$4</c:f>
            </c:strRef>
          </c:xVal>
          <c:yVal>
            <c:numRef>
              <c:f>'2022_Stats'!$A$4</c:f>
              <c:numCache/>
            </c:numRef>
          </c:yVal>
          <c:bubbleSize>
            <c:numLit>
              <c:ptCount val="1"/>
              <c:pt idx="0">
                <c:v>1</c:v>
              </c:pt>
            </c:numLit>
          </c:bubbleSize>
        </c:ser>
        <c:ser>
          <c:idx val="3"/>
          <c:order val="3"/>
          <c:tx>
            <c:strRef>
              <c:f>'2022_Stats'!$E$5</c:f>
            </c:strRef>
          </c:tx>
          <c:dLbls>
            <c:dLblPos val="ctr"/>
            <c:showLegendKey val="0"/>
            <c:showVal val="0"/>
            <c:showCatName val="0"/>
            <c:showSerName val="1"/>
            <c:showPercent val="0"/>
            <c:showBubbleSize val="0"/>
          </c:dLbls>
          <c:xVal>
            <c:strRef>
              <c:f>'2022_Stats'!$F$5</c:f>
            </c:strRef>
          </c:xVal>
          <c:yVal>
            <c:numRef>
              <c:f>'2022_Stats'!$A$5</c:f>
              <c:numCache/>
            </c:numRef>
          </c:yVal>
          <c:bubbleSize>
            <c:numLit>
              <c:ptCount val="1"/>
              <c:pt idx="0">
                <c:v>1</c:v>
              </c:pt>
            </c:numLit>
          </c:bubbleSize>
        </c:ser>
        <c:ser>
          <c:idx val="4"/>
          <c:order val="4"/>
          <c:tx>
            <c:strRef>
              <c:f>'2022_Stats'!$E$6</c:f>
            </c:strRef>
          </c:tx>
          <c:dLbls>
            <c:dLblPos val="ctr"/>
            <c:showLegendKey val="0"/>
            <c:showVal val="0"/>
            <c:showCatName val="0"/>
            <c:showSerName val="1"/>
            <c:showPercent val="0"/>
            <c:showBubbleSize val="0"/>
          </c:dLbls>
          <c:xVal>
            <c:strRef>
              <c:f>'2022_Stats'!$F$6</c:f>
            </c:strRef>
          </c:xVal>
          <c:yVal>
            <c:numRef>
              <c:f>'2022_Stats'!$A$6</c:f>
              <c:numCache/>
            </c:numRef>
          </c:yVal>
          <c:bubbleSize>
            <c:numLit>
              <c:ptCount val="1"/>
              <c:pt idx="0">
                <c:v>1</c:v>
              </c:pt>
            </c:numLit>
          </c:bubbleSize>
        </c:ser>
        <c:ser>
          <c:idx val="5"/>
          <c:order val="5"/>
          <c:tx>
            <c:strRef>
              <c:f>'2022_Stats'!$E$7</c:f>
            </c:strRef>
          </c:tx>
          <c:dLbls>
            <c:dLblPos val="ctr"/>
            <c:showLegendKey val="0"/>
            <c:showVal val="0"/>
            <c:showCatName val="0"/>
            <c:showSerName val="1"/>
            <c:showPercent val="0"/>
            <c:showBubbleSize val="0"/>
          </c:dLbls>
          <c:xVal>
            <c:strRef>
              <c:f>'2022_Stats'!$F$7</c:f>
            </c:strRef>
          </c:xVal>
          <c:yVal>
            <c:numRef>
              <c:f>'2022_Stats'!$A$7</c:f>
              <c:numCache/>
            </c:numRef>
          </c:yVal>
          <c:bubbleSize>
            <c:numLit>
              <c:ptCount val="1"/>
              <c:pt idx="0">
                <c:v>1</c:v>
              </c:pt>
            </c:numLit>
          </c:bubbleSize>
        </c:ser>
        <c:ser>
          <c:idx val="6"/>
          <c:order val="6"/>
          <c:tx>
            <c:strRef>
              <c:f>'2022_Stats'!$E$8</c:f>
            </c:strRef>
          </c:tx>
          <c:dLbls>
            <c:dLblPos val="ctr"/>
            <c:showLegendKey val="0"/>
            <c:showVal val="0"/>
            <c:showCatName val="0"/>
            <c:showSerName val="1"/>
            <c:showPercent val="0"/>
            <c:showBubbleSize val="0"/>
          </c:dLbls>
          <c:xVal>
            <c:strRef>
              <c:f>'2022_Stats'!$F$8</c:f>
            </c:strRef>
          </c:xVal>
          <c:yVal>
            <c:numRef>
              <c:f>'2022_Stats'!$A$8</c:f>
              <c:numCache/>
            </c:numRef>
          </c:yVal>
          <c:bubbleSize>
            <c:numLit>
              <c:ptCount val="1"/>
              <c:pt idx="0">
                <c:v>1</c:v>
              </c:pt>
            </c:numLit>
          </c:bubbleSize>
        </c:ser>
        <c:ser>
          <c:idx val="7"/>
          <c:order val="7"/>
          <c:tx>
            <c:strRef>
              <c:f>'2022_Stats'!$E$9</c:f>
            </c:strRef>
          </c:tx>
          <c:dLbls>
            <c:dLblPos val="ctr"/>
            <c:showLegendKey val="0"/>
            <c:showVal val="0"/>
            <c:showCatName val="0"/>
            <c:showSerName val="1"/>
            <c:showPercent val="0"/>
            <c:showBubbleSize val="0"/>
          </c:dLbls>
          <c:xVal>
            <c:strRef>
              <c:f>'2022_Stats'!$F$9</c:f>
            </c:strRef>
          </c:xVal>
          <c:yVal>
            <c:numRef>
              <c:f>'2022_Stats'!$A$9</c:f>
              <c:numCache/>
            </c:numRef>
          </c:yVal>
          <c:bubbleSize>
            <c:numLit>
              <c:ptCount val="1"/>
              <c:pt idx="0">
                <c:v>1</c:v>
              </c:pt>
            </c:numLit>
          </c:bubbleSize>
        </c:ser>
        <c:ser>
          <c:idx val="8"/>
          <c:order val="8"/>
          <c:tx>
            <c:strRef>
              <c:f>'2022_Stats'!$E$10</c:f>
            </c:strRef>
          </c:tx>
          <c:dLbls>
            <c:dLblPos val="ctr"/>
            <c:showLegendKey val="0"/>
            <c:showVal val="0"/>
            <c:showCatName val="0"/>
            <c:showSerName val="1"/>
            <c:showPercent val="0"/>
            <c:showBubbleSize val="0"/>
          </c:dLbls>
          <c:xVal>
            <c:strRef>
              <c:f>'2022_Stats'!$F$10</c:f>
            </c:strRef>
          </c:xVal>
          <c:yVal>
            <c:numRef>
              <c:f>'2022_Stats'!$A$10</c:f>
              <c:numCache/>
            </c:numRef>
          </c:yVal>
          <c:bubbleSize>
            <c:numLit>
              <c:ptCount val="1"/>
              <c:pt idx="0">
                <c:v>1</c:v>
              </c:pt>
            </c:numLit>
          </c:bubbleSize>
        </c:ser>
        <c:ser>
          <c:idx val="9"/>
          <c:order val="9"/>
          <c:tx>
            <c:strRef>
              <c:f>'2022_Stats'!$E$11</c:f>
            </c:strRef>
          </c:tx>
          <c:dLbls>
            <c:dLblPos val="ctr"/>
            <c:showLegendKey val="0"/>
            <c:showVal val="0"/>
            <c:showCatName val="0"/>
            <c:showSerName val="1"/>
            <c:showPercent val="0"/>
            <c:showBubbleSize val="0"/>
          </c:dLbls>
          <c:xVal>
            <c:strRef>
              <c:f>'2022_Stats'!$F$11</c:f>
            </c:strRef>
          </c:xVal>
          <c:yVal>
            <c:numRef>
              <c:f>'2022_Stats'!$A$11</c:f>
              <c:numCache/>
            </c:numRef>
          </c:yVal>
          <c:bubbleSize>
            <c:numLit>
              <c:ptCount val="1"/>
              <c:pt idx="0">
                <c:v>1</c:v>
              </c:pt>
            </c:numLit>
          </c:bubbleSize>
        </c:ser>
        <c:ser>
          <c:idx val="10"/>
          <c:order val="10"/>
          <c:tx>
            <c:strRef>
              <c:f>'2022_Stats'!$E$12</c:f>
            </c:strRef>
          </c:tx>
          <c:dLbls>
            <c:dLblPos val="ctr"/>
            <c:showLegendKey val="0"/>
            <c:showVal val="0"/>
            <c:showCatName val="0"/>
            <c:showSerName val="1"/>
            <c:showPercent val="0"/>
            <c:showBubbleSize val="0"/>
          </c:dLbls>
          <c:xVal>
            <c:strRef>
              <c:f>'2022_Stats'!$F$12</c:f>
            </c:strRef>
          </c:xVal>
          <c:yVal>
            <c:numRef>
              <c:f>'2022_Stats'!$A$12</c:f>
              <c:numCache/>
            </c:numRef>
          </c:yVal>
          <c:bubbleSize>
            <c:numLit>
              <c:ptCount val="1"/>
              <c:pt idx="0">
                <c:v>1</c:v>
              </c:pt>
            </c:numLit>
          </c:bubbleSize>
        </c:ser>
        <c:ser>
          <c:idx val="11"/>
          <c:order val="11"/>
          <c:tx>
            <c:strRef>
              <c:f>'2022_Stats'!$E$13</c:f>
            </c:strRef>
          </c:tx>
          <c:dLbls>
            <c:dLblPos val="ctr"/>
            <c:showLegendKey val="0"/>
            <c:showVal val="0"/>
            <c:showCatName val="0"/>
            <c:showSerName val="1"/>
            <c:showPercent val="0"/>
            <c:showBubbleSize val="0"/>
          </c:dLbls>
          <c:xVal>
            <c:strRef>
              <c:f>'2022_Stats'!$F$13</c:f>
            </c:strRef>
          </c:xVal>
          <c:yVal>
            <c:numRef>
              <c:f>'2022_Stats'!$A$13</c:f>
              <c:numCache/>
            </c:numRef>
          </c:yVal>
          <c:bubbleSize>
            <c:numLit>
              <c:ptCount val="1"/>
              <c:pt idx="0">
                <c:v>1</c:v>
              </c:pt>
            </c:numLit>
          </c:bubbleSize>
        </c:ser>
        <c:ser>
          <c:idx val="12"/>
          <c:order val="12"/>
          <c:tx>
            <c:strRef>
              <c:f>'2022_Stats'!$E$14</c:f>
            </c:strRef>
          </c:tx>
          <c:dLbls>
            <c:dLblPos val="ctr"/>
            <c:showLegendKey val="0"/>
            <c:showVal val="0"/>
            <c:showCatName val="0"/>
            <c:showSerName val="1"/>
            <c:showPercent val="0"/>
            <c:showBubbleSize val="0"/>
          </c:dLbls>
          <c:xVal>
            <c:strRef>
              <c:f>'2022_Stats'!$F$14</c:f>
            </c:strRef>
          </c:xVal>
          <c:yVal>
            <c:numRef>
              <c:f>'2022_Stats'!$A$14</c:f>
              <c:numCache/>
            </c:numRef>
          </c:yVal>
          <c:bubbleSize>
            <c:numLit>
              <c:ptCount val="1"/>
              <c:pt idx="0">
                <c:v>1</c:v>
              </c:pt>
            </c:numLit>
          </c:bubbleSize>
        </c:ser>
        <c:ser>
          <c:idx val="13"/>
          <c:order val="13"/>
          <c:tx>
            <c:strRef>
              <c:f>'2022_Stats'!$E$15</c:f>
            </c:strRef>
          </c:tx>
          <c:dLbls>
            <c:dLblPos val="ctr"/>
            <c:showLegendKey val="0"/>
            <c:showVal val="0"/>
            <c:showCatName val="0"/>
            <c:showSerName val="1"/>
            <c:showPercent val="0"/>
            <c:showBubbleSize val="0"/>
          </c:dLbls>
          <c:xVal>
            <c:strRef>
              <c:f>'2022_Stats'!$F$15</c:f>
            </c:strRef>
          </c:xVal>
          <c:yVal>
            <c:numRef>
              <c:f>'2022_Stats'!$A$15</c:f>
              <c:numCache/>
            </c:numRef>
          </c:yVal>
          <c:bubbleSize>
            <c:numLit>
              <c:ptCount val="1"/>
              <c:pt idx="0">
                <c:v>1</c:v>
              </c:pt>
            </c:numLit>
          </c:bubbleSize>
        </c:ser>
        <c:ser>
          <c:idx val="14"/>
          <c:order val="14"/>
          <c:tx>
            <c:strRef>
              <c:f>'2022_Stats'!$E$16</c:f>
            </c:strRef>
          </c:tx>
          <c:dLbls>
            <c:dLblPos val="ctr"/>
            <c:showLegendKey val="0"/>
            <c:showVal val="0"/>
            <c:showCatName val="0"/>
            <c:showSerName val="1"/>
            <c:showPercent val="0"/>
            <c:showBubbleSize val="0"/>
          </c:dLbls>
          <c:xVal>
            <c:strRef>
              <c:f>'2022_Stats'!$F$16</c:f>
            </c:strRef>
          </c:xVal>
          <c:yVal>
            <c:numRef>
              <c:f>'2022_Stats'!$A$16</c:f>
              <c:numCache/>
            </c:numRef>
          </c:yVal>
          <c:bubbleSize>
            <c:numLit>
              <c:ptCount val="1"/>
              <c:pt idx="0">
                <c:v>1</c:v>
              </c:pt>
            </c:numLit>
          </c:bubbleSize>
        </c:ser>
        <c:ser>
          <c:idx val="15"/>
          <c:order val="15"/>
          <c:tx>
            <c:strRef>
              <c:f>'2022_Stats'!$E$17</c:f>
            </c:strRef>
          </c:tx>
          <c:dLbls>
            <c:dLblPos val="ctr"/>
            <c:showLegendKey val="0"/>
            <c:showVal val="0"/>
            <c:showCatName val="0"/>
            <c:showSerName val="1"/>
            <c:showPercent val="0"/>
            <c:showBubbleSize val="0"/>
          </c:dLbls>
          <c:xVal>
            <c:strRef>
              <c:f>'2022_Stats'!$F$17</c:f>
            </c:strRef>
          </c:xVal>
          <c:yVal>
            <c:numRef>
              <c:f>'2022_Stats'!$A$17</c:f>
              <c:numCache/>
            </c:numRef>
          </c:yVal>
          <c:bubbleSize>
            <c:numLit>
              <c:ptCount val="1"/>
              <c:pt idx="0">
                <c:v>1</c:v>
              </c:pt>
            </c:numLit>
          </c:bubbleSize>
        </c:ser>
        <c:ser>
          <c:idx val="16"/>
          <c:order val="16"/>
          <c:tx>
            <c:strRef>
              <c:f>'2022_Stats'!$E$18</c:f>
            </c:strRef>
          </c:tx>
          <c:dLbls>
            <c:dLblPos val="ctr"/>
            <c:showLegendKey val="0"/>
            <c:showVal val="0"/>
            <c:showCatName val="0"/>
            <c:showSerName val="1"/>
            <c:showPercent val="0"/>
            <c:showBubbleSize val="0"/>
          </c:dLbls>
          <c:xVal>
            <c:strRef>
              <c:f>'2022_Stats'!$F$18</c:f>
            </c:strRef>
          </c:xVal>
          <c:yVal>
            <c:numRef>
              <c:f>'2022_Stats'!$A$18</c:f>
              <c:numCache/>
            </c:numRef>
          </c:yVal>
          <c:bubbleSize>
            <c:numLit>
              <c:ptCount val="1"/>
              <c:pt idx="0">
                <c:v>1</c:v>
              </c:pt>
            </c:numLit>
          </c:bubbleSize>
        </c:ser>
        <c:ser>
          <c:idx val="17"/>
          <c:order val="17"/>
          <c:tx>
            <c:strRef>
              <c:f>'2022_Stats'!$E$19</c:f>
            </c:strRef>
          </c:tx>
          <c:dLbls>
            <c:dLblPos val="ctr"/>
            <c:showLegendKey val="0"/>
            <c:showVal val="0"/>
            <c:showCatName val="0"/>
            <c:showSerName val="1"/>
            <c:showPercent val="0"/>
            <c:showBubbleSize val="0"/>
          </c:dLbls>
          <c:xVal>
            <c:strRef>
              <c:f>'2022_Stats'!$F$19</c:f>
            </c:strRef>
          </c:xVal>
          <c:yVal>
            <c:numRef>
              <c:f>'2022_Stats'!$A$19</c:f>
              <c:numCache/>
            </c:numRef>
          </c:yVal>
          <c:bubbleSize>
            <c:numLit>
              <c:ptCount val="1"/>
              <c:pt idx="0">
                <c:v>1</c:v>
              </c:pt>
            </c:numLit>
          </c:bubbleSize>
        </c:ser>
        <c:ser>
          <c:idx val="18"/>
          <c:order val="18"/>
          <c:tx>
            <c:strRef>
              <c:f>'2022_Stats'!$E$20</c:f>
            </c:strRef>
          </c:tx>
          <c:dLbls>
            <c:dLblPos val="ctr"/>
            <c:showLegendKey val="0"/>
            <c:showVal val="0"/>
            <c:showCatName val="0"/>
            <c:showSerName val="1"/>
            <c:showPercent val="0"/>
            <c:showBubbleSize val="0"/>
          </c:dLbls>
          <c:xVal>
            <c:strRef>
              <c:f>'2022_Stats'!$F$20</c:f>
            </c:strRef>
          </c:xVal>
          <c:yVal>
            <c:numRef>
              <c:f>'2022_Stats'!$A$20</c:f>
              <c:numCache/>
            </c:numRef>
          </c:yVal>
          <c:bubbleSize>
            <c:numLit>
              <c:ptCount val="1"/>
              <c:pt idx="0">
                <c:v>1</c:v>
              </c:pt>
            </c:numLit>
          </c:bubbleSize>
        </c:ser>
        <c:ser>
          <c:idx val="19"/>
          <c:order val="19"/>
          <c:tx>
            <c:strRef>
              <c:f>'2022_Stats'!$E$21</c:f>
            </c:strRef>
          </c:tx>
          <c:dLbls>
            <c:dLblPos val="ctr"/>
            <c:showLegendKey val="0"/>
            <c:showVal val="0"/>
            <c:showCatName val="0"/>
            <c:showSerName val="1"/>
            <c:showPercent val="0"/>
            <c:showBubbleSize val="0"/>
          </c:dLbls>
          <c:xVal>
            <c:strRef>
              <c:f>'2022_Stats'!$F$21</c:f>
            </c:strRef>
          </c:xVal>
          <c:yVal>
            <c:numRef>
              <c:f>'2022_Stats'!$A$21</c:f>
              <c:numCache/>
            </c:numRef>
          </c:yVal>
          <c:bubbleSize>
            <c:numLit>
              <c:ptCount val="1"/>
              <c:pt idx="0">
                <c:v>1</c:v>
              </c:pt>
            </c:numLit>
          </c:bubbleSize>
        </c:ser>
        <c:axId val="266149541"/>
        <c:axId val="843900958"/>
      </c:bubbleChart>
      <c:valAx>
        <c:axId val="2661495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43900958"/>
      </c:valAx>
      <c:valAx>
        <c:axId val="8439009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66149541"/>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Price Paid vs Performance 2023</a:t>
            </a:r>
          </a:p>
        </c:rich>
      </c:tx>
      <c:overlay val="0"/>
    </c:title>
    <c:plotArea>
      <c:layout/>
      <c:bubbleChart>
        <c:ser>
          <c:idx val="0"/>
          <c:order val="0"/>
          <c:tx>
            <c:strRef>
              <c:f>'2023_Stats'!$E$2</c:f>
            </c:strRef>
          </c:tx>
          <c:dLbls>
            <c:dLblPos val="ctr"/>
            <c:showLegendKey val="0"/>
            <c:showVal val="0"/>
            <c:showCatName val="0"/>
            <c:showSerName val="1"/>
            <c:showPercent val="0"/>
            <c:showBubbleSize val="0"/>
          </c:dLbls>
          <c:xVal>
            <c:strRef>
              <c:f>'2023_Stats'!$F$2</c:f>
            </c:strRef>
          </c:xVal>
          <c:yVal>
            <c:numRef>
              <c:f>'2023_Stats'!$A$2</c:f>
              <c:numCache/>
            </c:numRef>
          </c:yVal>
          <c:bubbleSize>
            <c:numLit>
              <c:ptCount val="1"/>
              <c:pt idx="0">
                <c:v>1</c:v>
              </c:pt>
            </c:numLit>
          </c:bubbleSize>
        </c:ser>
        <c:ser>
          <c:idx val="1"/>
          <c:order val="1"/>
          <c:tx>
            <c:strRef>
              <c:f>'2023_Stats'!$E$3</c:f>
            </c:strRef>
          </c:tx>
          <c:dLbls>
            <c:dLblPos val="ctr"/>
            <c:showLegendKey val="0"/>
            <c:showVal val="0"/>
            <c:showCatName val="0"/>
            <c:showSerName val="1"/>
            <c:showPercent val="0"/>
            <c:showBubbleSize val="0"/>
          </c:dLbls>
          <c:xVal>
            <c:strRef>
              <c:f>'2023_Stats'!$F$3</c:f>
            </c:strRef>
          </c:xVal>
          <c:yVal>
            <c:numRef>
              <c:f>'2023_Stats'!$A$3</c:f>
              <c:numCache/>
            </c:numRef>
          </c:yVal>
          <c:bubbleSize>
            <c:numLit>
              <c:ptCount val="1"/>
              <c:pt idx="0">
                <c:v>1</c:v>
              </c:pt>
            </c:numLit>
          </c:bubbleSize>
        </c:ser>
        <c:ser>
          <c:idx val="2"/>
          <c:order val="2"/>
          <c:tx>
            <c:strRef>
              <c:f>'2023_Stats'!$E$4</c:f>
            </c:strRef>
          </c:tx>
          <c:dLbls>
            <c:dLblPos val="ctr"/>
            <c:showLegendKey val="0"/>
            <c:showVal val="0"/>
            <c:showCatName val="0"/>
            <c:showSerName val="1"/>
            <c:showPercent val="0"/>
            <c:showBubbleSize val="0"/>
          </c:dLbls>
          <c:xVal>
            <c:strRef>
              <c:f>'2023_Stats'!$F$4</c:f>
            </c:strRef>
          </c:xVal>
          <c:yVal>
            <c:numRef>
              <c:f>'2023_Stats'!$A$4</c:f>
              <c:numCache/>
            </c:numRef>
          </c:yVal>
          <c:bubbleSize>
            <c:numLit>
              <c:ptCount val="1"/>
              <c:pt idx="0">
                <c:v>1</c:v>
              </c:pt>
            </c:numLit>
          </c:bubbleSize>
        </c:ser>
        <c:ser>
          <c:idx val="3"/>
          <c:order val="3"/>
          <c:tx>
            <c:strRef>
              <c:f>'2023_Stats'!$E$5</c:f>
            </c:strRef>
          </c:tx>
          <c:dLbls>
            <c:dLblPos val="ctr"/>
            <c:showLegendKey val="0"/>
            <c:showVal val="0"/>
            <c:showCatName val="0"/>
            <c:showSerName val="1"/>
            <c:showPercent val="0"/>
            <c:showBubbleSize val="0"/>
          </c:dLbls>
          <c:xVal>
            <c:strRef>
              <c:f>'2023_Stats'!$F$5</c:f>
            </c:strRef>
          </c:xVal>
          <c:yVal>
            <c:numRef>
              <c:f>'2023_Stats'!$A$5</c:f>
              <c:numCache/>
            </c:numRef>
          </c:yVal>
          <c:bubbleSize>
            <c:numLit>
              <c:ptCount val="1"/>
              <c:pt idx="0">
                <c:v>1</c:v>
              </c:pt>
            </c:numLit>
          </c:bubbleSize>
        </c:ser>
        <c:ser>
          <c:idx val="4"/>
          <c:order val="4"/>
          <c:tx>
            <c:strRef>
              <c:f>'2023_Stats'!$E$6</c:f>
            </c:strRef>
          </c:tx>
          <c:dLbls>
            <c:dLblPos val="ctr"/>
            <c:showLegendKey val="0"/>
            <c:showVal val="0"/>
            <c:showCatName val="0"/>
            <c:showSerName val="1"/>
            <c:showPercent val="0"/>
            <c:showBubbleSize val="0"/>
          </c:dLbls>
          <c:xVal>
            <c:strRef>
              <c:f>'2023_Stats'!$F$6</c:f>
            </c:strRef>
          </c:xVal>
          <c:yVal>
            <c:numRef>
              <c:f>'2023_Stats'!$A$6</c:f>
              <c:numCache/>
            </c:numRef>
          </c:yVal>
          <c:bubbleSize>
            <c:numLit>
              <c:ptCount val="1"/>
              <c:pt idx="0">
                <c:v>1</c:v>
              </c:pt>
            </c:numLit>
          </c:bubbleSize>
        </c:ser>
        <c:ser>
          <c:idx val="5"/>
          <c:order val="5"/>
          <c:tx>
            <c:strRef>
              <c:f>'2023_Stats'!$E$7</c:f>
            </c:strRef>
          </c:tx>
          <c:dLbls>
            <c:dLblPos val="ctr"/>
            <c:showLegendKey val="0"/>
            <c:showVal val="0"/>
            <c:showCatName val="0"/>
            <c:showSerName val="1"/>
            <c:showPercent val="0"/>
            <c:showBubbleSize val="0"/>
          </c:dLbls>
          <c:xVal>
            <c:strRef>
              <c:f>'2023_Stats'!$F$7</c:f>
            </c:strRef>
          </c:xVal>
          <c:yVal>
            <c:numRef>
              <c:f>'2023_Stats'!$A$7</c:f>
              <c:numCache/>
            </c:numRef>
          </c:yVal>
          <c:bubbleSize>
            <c:numLit>
              <c:ptCount val="1"/>
              <c:pt idx="0">
                <c:v>1</c:v>
              </c:pt>
            </c:numLit>
          </c:bubbleSize>
        </c:ser>
        <c:ser>
          <c:idx val="6"/>
          <c:order val="6"/>
          <c:tx>
            <c:strRef>
              <c:f>'2023_Stats'!$E$8</c:f>
            </c:strRef>
          </c:tx>
          <c:dLbls>
            <c:dLblPos val="ctr"/>
            <c:showLegendKey val="0"/>
            <c:showVal val="0"/>
            <c:showCatName val="0"/>
            <c:showSerName val="1"/>
            <c:showPercent val="0"/>
            <c:showBubbleSize val="0"/>
          </c:dLbls>
          <c:xVal>
            <c:strRef>
              <c:f>'2023_Stats'!$F$8</c:f>
            </c:strRef>
          </c:xVal>
          <c:yVal>
            <c:numRef>
              <c:f>'2023_Stats'!$A$8</c:f>
              <c:numCache/>
            </c:numRef>
          </c:yVal>
          <c:bubbleSize>
            <c:numLit>
              <c:ptCount val="1"/>
              <c:pt idx="0">
                <c:v>1</c:v>
              </c:pt>
            </c:numLit>
          </c:bubbleSize>
        </c:ser>
        <c:ser>
          <c:idx val="7"/>
          <c:order val="7"/>
          <c:tx>
            <c:strRef>
              <c:f>'2023_Stats'!$E$9</c:f>
            </c:strRef>
          </c:tx>
          <c:dLbls>
            <c:dLblPos val="ctr"/>
            <c:showLegendKey val="0"/>
            <c:showVal val="0"/>
            <c:showCatName val="0"/>
            <c:showSerName val="1"/>
            <c:showPercent val="0"/>
            <c:showBubbleSize val="0"/>
          </c:dLbls>
          <c:xVal>
            <c:strRef>
              <c:f>'2023_Stats'!$F$9</c:f>
            </c:strRef>
          </c:xVal>
          <c:yVal>
            <c:numRef>
              <c:f>'2023_Stats'!$A$9</c:f>
              <c:numCache/>
            </c:numRef>
          </c:yVal>
          <c:bubbleSize>
            <c:numLit>
              <c:ptCount val="1"/>
              <c:pt idx="0">
                <c:v>1</c:v>
              </c:pt>
            </c:numLit>
          </c:bubbleSize>
        </c:ser>
        <c:ser>
          <c:idx val="8"/>
          <c:order val="8"/>
          <c:tx>
            <c:strRef>
              <c:f>'2023_Stats'!$E$10</c:f>
            </c:strRef>
          </c:tx>
          <c:dLbls>
            <c:dLblPos val="ctr"/>
            <c:showLegendKey val="0"/>
            <c:showVal val="0"/>
            <c:showCatName val="0"/>
            <c:showSerName val="1"/>
            <c:showPercent val="0"/>
            <c:showBubbleSize val="0"/>
          </c:dLbls>
          <c:xVal>
            <c:strRef>
              <c:f>'2023_Stats'!$F$10</c:f>
            </c:strRef>
          </c:xVal>
          <c:yVal>
            <c:numRef>
              <c:f>'2023_Stats'!$A$10</c:f>
              <c:numCache/>
            </c:numRef>
          </c:yVal>
          <c:bubbleSize>
            <c:numLit>
              <c:ptCount val="1"/>
              <c:pt idx="0">
                <c:v>1</c:v>
              </c:pt>
            </c:numLit>
          </c:bubbleSize>
        </c:ser>
        <c:ser>
          <c:idx val="9"/>
          <c:order val="9"/>
          <c:tx>
            <c:strRef>
              <c:f>'2023_Stats'!$E$11</c:f>
            </c:strRef>
          </c:tx>
          <c:dLbls>
            <c:dLblPos val="ctr"/>
            <c:showLegendKey val="0"/>
            <c:showVal val="0"/>
            <c:showCatName val="0"/>
            <c:showSerName val="1"/>
            <c:showPercent val="0"/>
            <c:showBubbleSize val="0"/>
          </c:dLbls>
          <c:xVal>
            <c:strRef>
              <c:f>'2023_Stats'!$F$11</c:f>
            </c:strRef>
          </c:xVal>
          <c:yVal>
            <c:numRef>
              <c:f>'2023_Stats'!$A$11</c:f>
              <c:numCache/>
            </c:numRef>
          </c:yVal>
          <c:bubbleSize>
            <c:numLit>
              <c:ptCount val="1"/>
              <c:pt idx="0">
                <c:v>1</c:v>
              </c:pt>
            </c:numLit>
          </c:bubbleSize>
        </c:ser>
        <c:ser>
          <c:idx val="10"/>
          <c:order val="10"/>
          <c:tx>
            <c:strRef>
              <c:f>'2023_Stats'!$E$12</c:f>
            </c:strRef>
          </c:tx>
          <c:dLbls>
            <c:dLblPos val="ctr"/>
            <c:showLegendKey val="0"/>
            <c:showVal val="0"/>
            <c:showCatName val="0"/>
            <c:showSerName val="1"/>
            <c:showPercent val="0"/>
            <c:showBubbleSize val="0"/>
          </c:dLbls>
          <c:xVal>
            <c:strRef>
              <c:f>'2023_Stats'!$F$12</c:f>
            </c:strRef>
          </c:xVal>
          <c:yVal>
            <c:numRef>
              <c:f>'2023_Stats'!$A$12</c:f>
              <c:numCache/>
            </c:numRef>
          </c:yVal>
          <c:bubbleSize>
            <c:numLit>
              <c:ptCount val="1"/>
              <c:pt idx="0">
                <c:v>1</c:v>
              </c:pt>
            </c:numLit>
          </c:bubbleSize>
        </c:ser>
        <c:ser>
          <c:idx val="11"/>
          <c:order val="11"/>
          <c:tx>
            <c:strRef>
              <c:f>'2023_Stats'!$E$13</c:f>
            </c:strRef>
          </c:tx>
          <c:dLbls>
            <c:dLblPos val="ctr"/>
            <c:showLegendKey val="0"/>
            <c:showVal val="0"/>
            <c:showCatName val="0"/>
            <c:showSerName val="1"/>
            <c:showPercent val="0"/>
            <c:showBubbleSize val="0"/>
          </c:dLbls>
          <c:xVal>
            <c:strRef>
              <c:f>'2023_Stats'!$F$13</c:f>
            </c:strRef>
          </c:xVal>
          <c:yVal>
            <c:numRef>
              <c:f>'2023_Stats'!$A$13</c:f>
              <c:numCache/>
            </c:numRef>
          </c:yVal>
          <c:bubbleSize>
            <c:numLit>
              <c:ptCount val="1"/>
              <c:pt idx="0">
                <c:v>1</c:v>
              </c:pt>
            </c:numLit>
          </c:bubbleSize>
        </c:ser>
        <c:ser>
          <c:idx val="12"/>
          <c:order val="12"/>
          <c:tx>
            <c:strRef>
              <c:f>'2023_Stats'!$E$14</c:f>
            </c:strRef>
          </c:tx>
          <c:dLbls>
            <c:dLblPos val="ctr"/>
            <c:showLegendKey val="0"/>
            <c:showVal val="0"/>
            <c:showCatName val="0"/>
            <c:showSerName val="1"/>
            <c:showPercent val="0"/>
            <c:showBubbleSize val="0"/>
          </c:dLbls>
          <c:xVal>
            <c:strRef>
              <c:f>'2023_Stats'!$F$14</c:f>
            </c:strRef>
          </c:xVal>
          <c:yVal>
            <c:numRef>
              <c:f>'2023_Stats'!$A$14</c:f>
              <c:numCache/>
            </c:numRef>
          </c:yVal>
          <c:bubbleSize>
            <c:numLit>
              <c:ptCount val="1"/>
              <c:pt idx="0">
                <c:v>1</c:v>
              </c:pt>
            </c:numLit>
          </c:bubbleSize>
        </c:ser>
        <c:ser>
          <c:idx val="13"/>
          <c:order val="13"/>
          <c:tx>
            <c:strRef>
              <c:f>'2023_Stats'!$E$15</c:f>
            </c:strRef>
          </c:tx>
          <c:dLbls>
            <c:dLblPos val="ctr"/>
            <c:showLegendKey val="0"/>
            <c:showVal val="0"/>
            <c:showCatName val="0"/>
            <c:showSerName val="1"/>
            <c:showPercent val="0"/>
            <c:showBubbleSize val="0"/>
          </c:dLbls>
          <c:xVal>
            <c:strRef>
              <c:f>'2023_Stats'!$F$15</c:f>
            </c:strRef>
          </c:xVal>
          <c:yVal>
            <c:numRef>
              <c:f>'2023_Stats'!$A$15</c:f>
              <c:numCache/>
            </c:numRef>
          </c:yVal>
          <c:bubbleSize>
            <c:numLit>
              <c:ptCount val="1"/>
              <c:pt idx="0">
                <c:v>1</c:v>
              </c:pt>
            </c:numLit>
          </c:bubbleSize>
        </c:ser>
        <c:ser>
          <c:idx val="14"/>
          <c:order val="14"/>
          <c:tx>
            <c:strRef>
              <c:f>'2023_Stats'!$E$16</c:f>
            </c:strRef>
          </c:tx>
          <c:dLbls>
            <c:dLblPos val="ctr"/>
            <c:showLegendKey val="0"/>
            <c:showVal val="0"/>
            <c:showCatName val="0"/>
            <c:showSerName val="1"/>
            <c:showPercent val="0"/>
            <c:showBubbleSize val="0"/>
          </c:dLbls>
          <c:xVal>
            <c:strRef>
              <c:f>'2023_Stats'!$F$16</c:f>
            </c:strRef>
          </c:xVal>
          <c:yVal>
            <c:numRef>
              <c:f>'2023_Stats'!$A$16</c:f>
              <c:numCache/>
            </c:numRef>
          </c:yVal>
          <c:bubbleSize>
            <c:numLit>
              <c:ptCount val="1"/>
              <c:pt idx="0">
                <c:v>1</c:v>
              </c:pt>
            </c:numLit>
          </c:bubbleSize>
        </c:ser>
        <c:ser>
          <c:idx val="15"/>
          <c:order val="15"/>
          <c:tx>
            <c:strRef>
              <c:f>'2023_Stats'!$E$17</c:f>
            </c:strRef>
          </c:tx>
          <c:dLbls>
            <c:dLblPos val="ctr"/>
            <c:showLegendKey val="0"/>
            <c:showVal val="0"/>
            <c:showCatName val="0"/>
            <c:showSerName val="1"/>
            <c:showPercent val="0"/>
            <c:showBubbleSize val="0"/>
          </c:dLbls>
          <c:xVal>
            <c:strRef>
              <c:f>'2023_Stats'!$F$17</c:f>
            </c:strRef>
          </c:xVal>
          <c:yVal>
            <c:numRef>
              <c:f>'2023_Stats'!$A$17</c:f>
              <c:numCache/>
            </c:numRef>
          </c:yVal>
          <c:bubbleSize>
            <c:numLit>
              <c:ptCount val="1"/>
              <c:pt idx="0">
                <c:v>1</c:v>
              </c:pt>
            </c:numLit>
          </c:bubbleSize>
        </c:ser>
        <c:ser>
          <c:idx val="16"/>
          <c:order val="16"/>
          <c:tx>
            <c:strRef>
              <c:f>'2023_Stats'!$E$18</c:f>
            </c:strRef>
          </c:tx>
          <c:dLbls>
            <c:dLblPos val="ctr"/>
            <c:showLegendKey val="0"/>
            <c:showVal val="0"/>
            <c:showCatName val="0"/>
            <c:showSerName val="1"/>
            <c:showPercent val="0"/>
            <c:showBubbleSize val="0"/>
          </c:dLbls>
          <c:xVal>
            <c:strRef>
              <c:f>'2023_Stats'!$F$18</c:f>
            </c:strRef>
          </c:xVal>
          <c:yVal>
            <c:numRef>
              <c:f>'2023_Stats'!$A$18</c:f>
              <c:numCache/>
            </c:numRef>
          </c:yVal>
          <c:bubbleSize>
            <c:numLit>
              <c:ptCount val="1"/>
              <c:pt idx="0">
                <c:v>1</c:v>
              </c:pt>
            </c:numLit>
          </c:bubbleSize>
        </c:ser>
        <c:ser>
          <c:idx val="17"/>
          <c:order val="17"/>
          <c:tx>
            <c:strRef>
              <c:f>'2023_Stats'!$E$19</c:f>
            </c:strRef>
          </c:tx>
          <c:dLbls>
            <c:dLblPos val="ctr"/>
            <c:showLegendKey val="0"/>
            <c:showVal val="0"/>
            <c:showCatName val="0"/>
            <c:showSerName val="1"/>
            <c:showPercent val="0"/>
            <c:showBubbleSize val="0"/>
          </c:dLbls>
          <c:xVal>
            <c:strRef>
              <c:f>'2023_Stats'!$F$19</c:f>
            </c:strRef>
          </c:xVal>
          <c:yVal>
            <c:numRef>
              <c:f>'2023_Stats'!$A$19</c:f>
              <c:numCache/>
            </c:numRef>
          </c:yVal>
          <c:bubbleSize>
            <c:numLit>
              <c:ptCount val="1"/>
              <c:pt idx="0">
                <c:v>1</c:v>
              </c:pt>
            </c:numLit>
          </c:bubbleSize>
        </c:ser>
        <c:ser>
          <c:idx val="18"/>
          <c:order val="18"/>
          <c:tx>
            <c:strRef>
              <c:f>'2023_Stats'!$E$20</c:f>
            </c:strRef>
          </c:tx>
          <c:dLbls>
            <c:dLblPos val="ctr"/>
            <c:showLegendKey val="0"/>
            <c:showVal val="0"/>
            <c:showCatName val="0"/>
            <c:showSerName val="1"/>
            <c:showPercent val="0"/>
            <c:showBubbleSize val="0"/>
          </c:dLbls>
          <c:xVal>
            <c:strRef>
              <c:f>'2023_Stats'!$F$20</c:f>
            </c:strRef>
          </c:xVal>
          <c:yVal>
            <c:numRef>
              <c:f>'2023_Stats'!$A$20</c:f>
              <c:numCache/>
            </c:numRef>
          </c:yVal>
          <c:bubbleSize>
            <c:numLit>
              <c:ptCount val="1"/>
              <c:pt idx="0">
                <c:v>1</c:v>
              </c:pt>
            </c:numLit>
          </c:bubbleSize>
        </c:ser>
        <c:ser>
          <c:idx val="19"/>
          <c:order val="19"/>
          <c:tx>
            <c:strRef>
              <c:f>'2023_Stats'!$E$21</c:f>
            </c:strRef>
          </c:tx>
          <c:dLbls>
            <c:dLblPos val="ctr"/>
            <c:showLegendKey val="0"/>
            <c:showVal val="0"/>
            <c:showCatName val="0"/>
            <c:showSerName val="1"/>
            <c:showPercent val="0"/>
            <c:showBubbleSize val="0"/>
          </c:dLbls>
          <c:xVal>
            <c:strRef>
              <c:f>'2023_Stats'!$F$21</c:f>
            </c:strRef>
          </c:xVal>
          <c:yVal>
            <c:numRef>
              <c:f>'2023_Stats'!$A$21</c:f>
              <c:numCache/>
            </c:numRef>
          </c:yVal>
          <c:bubbleSize>
            <c:numLit>
              <c:ptCount val="1"/>
              <c:pt idx="0">
                <c:v>1</c:v>
              </c:pt>
            </c:numLit>
          </c:bubbleSize>
        </c:ser>
        <c:axId val="1691974031"/>
        <c:axId val="27500176"/>
      </c:bubbleChart>
      <c:valAx>
        <c:axId val="16919740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7500176"/>
      </c:valAx>
      <c:valAx>
        <c:axId val="275001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691974031"/>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IPL 2023- Player Value Ranking</a:t>
            </a:r>
          </a:p>
        </c:rich>
      </c:tx>
      <c:overlay val="0"/>
    </c:title>
    <c:plotArea>
      <c:layout/>
      <c:barChart>
        <c:barDir val="bar"/>
        <c:ser>
          <c:idx val="0"/>
          <c:order val="0"/>
          <c:tx>
            <c:v>IPL_RANK</c:v>
          </c:tx>
          <c:spPr>
            <a:solidFill>
              <a:srgbClr val="00FF00"/>
            </a:solidFill>
            <a:ln cmpd="sng">
              <a:noFill/>
            </a:ln>
          </c:spPr>
          <c:cat>
            <c:strRef>
              <c:f>'2023_Stats'!$A$2:$A$21</c:f>
            </c:strRef>
          </c:cat>
          <c:val>
            <c:numRef>
              <c:f>'2023_Stats'!$H$2:$H$21</c:f>
              <c:numCache/>
            </c:numRef>
          </c:val>
        </c:ser>
        <c:axId val="2026660608"/>
        <c:axId val="1040380822"/>
      </c:barChart>
      <c:catAx>
        <c:axId val="2026660608"/>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40380822"/>
      </c:catAx>
      <c:valAx>
        <c:axId val="10403808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026660608"/>
        <c:crosses val="max"/>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IPL 2023- Player Value Ranking</a:t>
            </a:r>
          </a:p>
        </c:rich>
      </c:tx>
      <c:overlay val="0"/>
    </c:title>
    <c:plotArea>
      <c:layout/>
      <c:barChart>
        <c:barDir val="bar"/>
        <c:ser>
          <c:idx val="0"/>
          <c:order val="0"/>
          <c:tx>
            <c:v>IPL_RANK</c:v>
          </c:tx>
          <c:spPr>
            <a:solidFill>
              <a:srgbClr val="00FF00"/>
            </a:solidFill>
            <a:ln cmpd="sng">
              <a:noFill/>
            </a:ln>
          </c:spPr>
          <c:cat>
            <c:strRef>
              <c:f>'2023_Stats'!$A$2:$A$21</c:f>
            </c:strRef>
          </c:cat>
          <c:val>
            <c:numRef>
              <c:f>'2023_Stats'!$H$2:$H$21</c:f>
              <c:numCache/>
            </c:numRef>
          </c:val>
        </c:ser>
        <c:axId val="157980912"/>
        <c:axId val="354972933"/>
      </c:barChart>
      <c:catAx>
        <c:axId val="157980912"/>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354972933"/>
      </c:catAx>
      <c:valAx>
        <c:axId val="35497293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57980912"/>
        <c:crosses val="max"/>
      </c:valAx>
    </c:plotArea>
    <c:legend>
      <c:legendPos val="r"/>
      <c:overlay val="0"/>
      <c:txPr>
        <a:bodyPr/>
        <a:lstStyle/>
        <a:p>
          <a:pPr lvl="0">
            <a:defRPr b="0" i="0">
              <a:solidFill>
                <a:srgbClr val="1A1A1A"/>
              </a:solidFill>
              <a:latin typeface="+mn-lt"/>
            </a:defRPr>
          </a:pPr>
        </a:p>
      </c:txPr>
    </c:legend>
    <c:plotVisOnly val="1"/>
  </c:chart>
  <c:spPr>
    <a:solidFill>
      <a:srgbClr val="CCCCC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Price Paid vs Performance 2023</a:t>
            </a:r>
          </a:p>
        </c:rich>
      </c:tx>
      <c:overlay val="0"/>
    </c:title>
    <c:plotArea>
      <c:layout/>
      <c:bubbleChart>
        <c:ser>
          <c:idx val="0"/>
          <c:order val="0"/>
          <c:tx>
            <c:strRef>
              <c:f>'2023_Stats'!$E$2</c:f>
            </c:strRef>
          </c:tx>
          <c:dLbls>
            <c:dLblPos val="ctr"/>
            <c:showLegendKey val="0"/>
            <c:showVal val="0"/>
            <c:showCatName val="0"/>
            <c:showSerName val="1"/>
            <c:showPercent val="0"/>
            <c:showBubbleSize val="0"/>
          </c:dLbls>
          <c:xVal>
            <c:strRef>
              <c:f>'2023_Stats'!$F$2</c:f>
            </c:strRef>
          </c:xVal>
          <c:yVal>
            <c:numRef>
              <c:f>'2023_Stats'!$A$2</c:f>
              <c:numCache/>
            </c:numRef>
          </c:yVal>
          <c:bubbleSize>
            <c:numLit>
              <c:ptCount val="1"/>
              <c:pt idx="0">
                <c:v>1</c:v>
              </c:pt>
            </c:numLit>
          </c:bubbleSize>
        </c:ser>
        <c:ser>
          <c:idx val="1"/>
          <c:order val="1"/>
          <c:tx>
            <c:strRef>
              <c:f>'2023_Stats'!$E$3</c:f>
            </c:strRef>
          </c:tx>
          <c:dLbls>
            <c:dLblPos val="ctr"/>
            <c:showLegendKey val="0"/>
            <c:showVal val="0"/>
            <c:showCatName val="0"/>
            <c:showSerName val="1"/>
            <c:showPercent val="0"/>
            <c:showBubbleSize val="0"/>
          </c:dLbls>
          <c:xVal>
            <c:strRef>
              <c:f>'2023_Stats'!$F$3</c:f>
            </c:strRef>
          </c:xVal>
          <c:yVal>
            <c:numRef>
              <c:f>'2023_Stats'!$A$3</c:f>
              <c:numCache/>
            </c:numRef>
          </c:yVal>
          <c:bubbleSize>
            <c:numLit>
              <c:ptCount val="1"/>
              <c:pt idx="0">
                <c:v>1</c:v>
              </c:pt>
            </c:numLit>
          </c:bubbleSize>
        </c:ser>
        <c:ser>
          <c:idx val="2"/>
          <c:order val="2"/>
          <c:tx>
            <c:strRef>
              <c:f>'2023_Stats'!$E$4</c:f>
            </c:strRef>
          </c:tx>
          <c:dLbls>
            <c:dLblPos val="ctr"/>
            <c:showLegendKey val="0"/>
            <c:showVal val="0"/>
            <c:showCatName val="0"/>
            <c:showSerName val="1"/>
            <c:showPercent val="0"/>
            <c:showBubbleSize val="0"/>
          </c:dLbls>
          <c:xVal>
            <c:strRef>
              <c:f>'2023_Stats'!$F$4</c:f>
            </c:strRef>
          </c:xVal>
          <c:yVal>
            <c:numRef>
              <c:f>'2023_Stats'!$A$4</c:f>
              <c:numCache/>
            </c:numRef>
          </c:yVal>
          <c:bubbleSize>
            <c:numLit>
              <c:ptCount val="1"/>
              <c:pt idx="0">
                <c:v>1</c:v>
              </c:pt>
            </c:numLit>
          </c:bubbleSize>
        </c:ser>
        <c:ser>
          <c:idx val="3"/>
          <c:order val="3"/>
          <c:tx>
            <c:strRef>
              <c:f>'2023_Stats'!$E$5</c:f>
            </c:strRef>
          </c:tx>
          <c:dLbls>
            <c:dLblPos val="ctr"/>
            <c:showLegendKey val="0"/>
            <c:showVal val="0"/>
            <c:showCatName val="0"/>
            <c:showSerName val="1"/>
            <c:showPercent val="0"/>
            <c:showBubbleSize val="0"/>
          </c:dLbls>
          <c:xVal>
            <c:strRef>
              <c:f>'2023_Stats'!$F$5</c:f>
            </c:strRef>
          </c:xVal>
          <c:yVal>
            <c:numRef>
              <c:f>'2023_Stats'!$A$5</c:f>
              <c:numCache/>
            </c:numRef>
          </c:yVal>
          <c:bubbleSize>
            <c:numLit>
              <c:ptCount val="1"/>
              <c:pt idx="0">
                <c:v>1</c:v>
              </c:pt>
            </c:numLit>
          </c:bubbleSize>
        </c:ser>
        <c:ser>
          <c:idx val="4"/>
          <c:order val="4"/>
          <c:tx>
            <c:strRef>
              <c:f>'2023_Stats'!$E$6</c:f>
            </c:strRef>
          </c:tx>
          <c:dLbls>
            <c:dLblPos val="ctr"/>
            <c:showLegendKey val="0"/>
            <c:showVal val="0"/>
            <c:showCatName val="0"/>
            <c:showSerName val="1"/>
            <c:showPercent val="0"/>
            <c:showBubbleSize val="0"/>
          </c:dLbls>
          <c:xVal>
            <c:strRef>
              <c:f>'2023_Stats'!$F$6</c:f>
            </c:strRef>
          </c:xVal>
          <c:yVal>
            <c:numRef>
              <c:f>'2023_Stats'!$A$6</c:f>
              <c:numCache/>
            </c:numRef>
          </c:yVal>
          <c:bubbleSize>
            <c:numLit>
              <c:ptCount val="1"/>
              <c:pt idx="0">
                <c:v>1</c:v>
              </c:pt>
            </c:numLit>
          </c:bubbleSize>
        </c:ser>
        <c:ser>
          <c:idx val="5"/>
          <c:order val="5"/>
          <c:tx>
            <c:strRef>
              <c:f>'2023_Stats'!$E$7</c:f>
            </c:strRef>
          </c:tx>
          <c:dLbls>
            <c:dLblPos val="ctr"/>
            <c:showLegendKey val="0"/>
            <c:showVal val="0"/>
            <c:showCatName val="0"/>
            <c:showSerName val="1"/>
            <c:showPercent val="0"/>
            <c:showBubbleSize val="0"/>
          </c:dLbls>
          <c:xVal>
            <c:strRef>
              <c:f>'2023_Stats'!$F$7</c:f>
            </c:strRef>
          </c:xVal>
          <c:yVal>
            <c:numRef>
              <c:f>'2023_Stats'!$A$7</c:f>
              <c:numCache/>
            </c:numRef>
          </c:yVal>
          <c:bubbleSize>
            <c:numLit>
              <c:ptCount val="1"/>
              <c:pt idx="0">
                <c:v>1</c:v>
              </c:pt>
            </c:numLit>
          </c:bubbleSize>
        </c:ser>
        <c:ser>
          <c:idx val="6"/>
          <c:order val="6"/>
          <c:tx>
            <c:strRef>
              <c:f>'2023_Stats'!$E$8</c:f>
            </c:strRef>
          </c:tx>
          <c:dLbls>
            <c:dLblPos val="ctr"/>
            <c:showLegendKey val="0"/>
            <c:showVal val="0"/>
            <c:showCatName val="0"/>
            <c:showSerName val="1"/>
            <c:showPercent val="0"/>
            <c:showBubbleSize val="0"/>
          </c:dLbls>
          <c:xVal>
            <c:strRef>
              <c:f>'2023_Stats'!$F$8</c:f>
            </c:strRef>
          </c:xVal>
          <c:yVal>
            <c:numRef>
              <c:f>'2023_Stats'!$A$8</c:f>
              <c:numCache/>
            </c:numRef>
          </c:yVal>
          <c:bubbleSize>
            <c:numLit>
              <c:ptCount val="1"/>
              <c:pt idx="0">
                <c:v>1</c:v>
              </c:pt>
            </c:numLit>
          </c:bubbleSize>
        </c:ser>
        <c:ser>
          <c:idx val="7"/>
          <c:order val="7"/>
          <c:tx>
            <c:strRef>
              <c:f>'2023_Stats'!$E$9</c:f>
            </c:strRef>
          </c:tx>
          <c:dLbls>
            <c:dLblPos val="ctr"/>
            <c:showLegendKey val="0"/>
            <c:showVal val="0"/>
            <c:showCatName val="0"/>
            <c:showSerName val="1"/>
            <c:showPercent val="0"/>
            <c:showBubbleSize val="0"/>
          </c:dLbls>
          <c:xVal>
            <c:strRef>
              <c:f>'2023_Stats'!$F$9</c:f>
            </c:strRef>
          </c:xVal>
          <c:yVal>
            <c:numRef>
              <c:f>'2023_Stats'!$A$9</c:f>
              <c:numCache/>
            </c:numRef>
          </c:yVal>
          <c:bubbleSize>
            <c:numLit>
              <c:ptCount val="1"/>
              <c:pt idx="0">
                <c:v>1</c:v>
              </c:pt>
            </c:numLit>
          </c:bubbleSize>
        </c:ser>
        <c:ser>
          <c:idx val="8"/>
          <c:order val="8"/>
          <c:tx>
            <c:strRef>
              <c:f>'2023_Stats'!$E$10</c:f>
            </c:strRef>
          </c:tx>
          <c:dLbls>
            <c:dLblPos val="ctr"/>
            <c:showLegendKey val="0"/>
            <c:showVal val="0"/>
            <c:showCatName val="0"/>
            <c:showSerName val="1"/>
            <c:showPercent val="0"/>
            <c:showBubbleSize val="0"/>
          </c:dLbls>
          <c:xVal>
            <c:strRef>
              <c:f>'2023_Stats'!$F$10</c:f>
            </c:strRef>
          </c:xVal>
          <c:yVal>
            <c:numRef>
              <c:f>'2023_Stats'!$A$10</c:f>
              <c:numCache/>
            </c:numRef>
          </c:yVal>
          <c:bubbleSize>
            <c:numLit>
              <c:ptCount val="1"/>
              <c:pt idx="0">
                <c:v>1</c:v>
              </c:pt>
            </c:numLit>
          </c:bubbleSize>
        </c:ser>
        <c:ser>
          <c:idx val="9"/>
          <c:order val="9"/>
          <c:tx>
            <c:strRef>
              <c:f>'2023_Stats'!$E$11</c:f>
            </c:strRef>
          </c:tx>
          <c:dLbls>
            <c:dLblPos val="ctr"/>
            <c:showLegendKey val="0"/>
            <c:showVal val="0"/>
            <c:showCatName val="0"/>
            <c:showSerName val="1"/>
            <c:showPercent val="0"/>
            <c:showBubbleSize val="0"/>
          </c:dLbls>
          <c:xVal>
            <c:strRef>
              <c:f>'2023_Stats'!$F$11</c:f>
            </c:strRef>
          </c:xVal>
          <c:yVal>
            <c:numRef>
              <c:f>'2023_Stats'!$A$11</c:f>
              <c:numCache/>
            </c:numRef>
          </c:yVal>
          <c:bubbleSize>
            <c:numLit>
              <c:ptCount val="1"/>
              <c:pt idx="0">
                <c:v>1</c:v>
              </c:pt>
            </c:numLit>
          </c:bubbleSize>
        </c:ser>
        <c:ser>
          <c:idx val="10"/>
          <c:order val="10"/>
          <c:tx>
            <c:strRef>
              <c:f>'2023_Stats'!$E$12</c:f>
            </c:strRef>
          </c:tx>
          <c:dLbls>
            <c:dLblPos val="ctr"/>
            <c:showLegendKey val="0"/>
            <c:showVal val="0"/>
            <c:showCatName val="0"/>
            <c:showSerName val="1"/>
            <c:showPercent val="0"/>
            <c:showBubbleSize val="0"/>
          </c:dLbls>
          <c:xVal>
            <c:strRef>
              <c:f>'2023_Stats'!$F$12</c:f>
            </c:strRef>
          </c:xVal>
          <c:yVal>
            <c:numRef>
              <c:f>'2023_Stats'!$A$12</c:f>
              <c:numCache/>
            </c:numRef>
          </c:yVal>
          <c:bubbleSize>
            <c:numLit>
              <c:ptCount val="1"/>
              <c:pt idx="0">
                <c:v>1</c:v>
              </c:pt>
            </c:numLit>
          </c:bubbleSize>
        </c:ser>
        <c:ser>
          <c:idx val="11"/>
          <c:order val="11"/>
          <c:tx>
            <c:strRef>
              <c:f>'2023_Stats'!$E$13</c:f>
            </c:strRef>
          </c:tx>
          <c:dLbls>
            <c:dLblPos val="ctr"/>
            <c:showLegendKey val="0"/>
            <c:showVal val="0"/>
            <c:showCatName val="0"/>
            <c:showSerName val="1"/>
            <c:showPercent val="0"/>
            <c:showBubbleSize val="0"/>
          </c:dLbls>
          <c:xVal>
            <c:strRef>
              <c:f>'2023_Stats'!$F$13</c:f>
            </c:strRef>
          </c:xVal>
          <c:yVal>
            <c:numRef>
              <c:f>'2023_Stats'!$A$13</c:f>
              <c:numCache/>
            </c:numRef>
          </c:yVal>
          <c:bubbleSize>
            <c:numLit>
              <c:ptCount val="1"/>
              <c:pt idx="0">
                <c:v>1</c:v>
              </c:pt>
            </c:numLit>
          </c:bubbleSize>
        </c:ser>
        <c:ser>
          <c:idx val="12"/>
          <c:order val="12"/>
          <c:tx>
            <c:strRef>
              <c:f>'2023_Stats'!$E$14</c:f>
            </c:strRef>
          </c:tx>
          <c:dLbls>
            <c:dLblPos val="ctr"/>
            <c:showLegendKey val="0"/>
            <c:showVal val="0"/>
            <c:showCatName val="0"/>
            <c:showSerName val="1"/>
            <c:showPercent val="0"/>
            <c:showBubbleSize val="0"/>
          </c:dLbls>
          <c:xVal>
            <c:strRef>
              <c:f>'2023_Stats'!$F$14</c:f>
            </c:strRef>
          </c:xVal>
          <c:yVal>
            <c:numRef>
              <c:f>'2023_Stats'!$A$14</c:f>
              <c:numCache/>
            </c:numRef>
          </c:yVal>
          <c:bubbleSize>
            <c:numLit>
              <c:ptCount val="1"/>
              <c:pt idx="0">
                <c:v>1</c:v>
              </c:pt>
            </c:numLit>
          </c:bubbleSize>
        </c:ser>
        <c:ser>
          <c:idx val="13"/>
          <c:order val="13"/>
          <c:tx>
            <c:strRef>
              <c:f>'2023_Stats'!$E$15</c:f>
            </c:strRef>
          </c:tx>
          <c:dLbls>
            <c:dLblPos val="ctr"/>
            <c:showLegendKey val="0"/>
            <c:showVal val="0"/>
            <c:showCatName val="0"/>
            <c:showSerName val="1"/>
            <c:showPercent val="0"/>
            <c:showBubbleSize val="0"/>
          </c:dLbls>
          <c:xVal>
            <c:strRef>
              <c:f>'2023_Stats'!$F$15</c:f>
            </c:strRef>
          </c:xVal>
          <c:yVal>
            <c:numRef>
              <c:f>'2023_Stats'!$A$15</c:f>
              <c:numCache/>
            </c:numRef>
          </c:yVal>
          <c:bubbleSize>
            <c:numLit>
              <c:ptCount val="1"/>
              <c:pt idx="0">
                <c:v>1</c:v>
              </c:pt>
            </c:numLit>
          </c:bubbleSize>
        </c:ser>
        <c:ser>
          <c:idx val="14"/>
          <c:order val="14"/>
          <c:tx>
            <c:strRef>
              <c:f>'2023_Stats'!$E$16</c:f>
            </c:strRef>
          </c:tx>
          <c:dLbls>
            <c:dLblPos val="ctr"/>
            <c:showLegendKey val="0"/>
            <c:showVal val="0"/>
            <c:showCatName val="0"/>
            <c:showSerName val="1"/>
            <c:showPercent val="0"/>
            <c:showBubbleSize val="0"/>
          </c:dLbls>
          <c:xVal>
            <c:strRef>
              <c:f>'2023_Stats'!$F$16</c:f>
            </c:strRef>
          </c:xVal>
          <c:yVal>
            <c:numRef>
              <c:f>'2023_Stats'!$A$16</c:f>
              <c:numCache/>
            </c:numRef>
          </c:yVal>
          <c:bubbleSize>
            <c:numLit>
              <c:ptCount val="1"/>
              <c:pt idx="0">
                <c:v>1</c:v>
              </c:pt>
            </c:numLit>
          </c:bubbleSize>
        </c:ser>
        <c:ser>
          <c:idx val="15"/>
          <c:order val="15"/>
          <c:tx>
            <c:strRef>
              <c:f>'2023_Stats'!$E$17</c:f>
            </c:strRef>
          </c:tx>
          <c:dLbls>
            <c:dLblPos val="ctr"/>
            <c:showLegendKey val="0"/>
            <c:showVal val="0"/>
            <c:showCatName val="0"/>
            <c:showSerName val="1"/>
            <c:showPercent val="0"/>
            <c:showBubbleSize val="0"/>
          </c:dLbls>
          <c:xVal>
            <c:strRef>
              <c:f>'2023_Stats'!$F$17</c:f>
            </c:strRef>
          </c:xVal>
          <c:yVal>
            <c:numRef>
              <c:f>'2023_Stats'!$A$17</c:f>
              <c:numCache/>
            </c:numRef>
          </c:yVal>
          <c:bubbleSize>
            <c:numLit>
              <c:ptCount val="1"/>
              <c:pt idx="0">
                <c:v>1</c:v>
              </c:pt>
            </c:numLit>
          </c:bubbleSize>
        </c:ser>
        <c:ser>
          <c:idx val="16"/>
          <c:order val="16"/>
          <c:tx>
            <c:strRef>
              <c:f>'2023_Stats'!$E$18</c:f>
            </c:strRef>
          </c:tx>
          <c:dLbls>
            <c:dLblPos val="ctr"/>
            <c:showLegendKey val="0"/>
            <c:showVal val="0"/>
            <c:showCatName val="0"/>
            <c:showSerName val="1"/>
            <c:showPercent val="0"/>
            <c:showBubbleSize val="0"/>
          </c:dLbls>
          <c:xVal>
            <c:strRef>
              <c:f>'2023_Stats'!$F$18</c:f>
            </c:strRef>
          </c:xVal>
          <c:yVal>
            <c:numRef>
              <c:f>'2023_Stats'!$A$18</c:f>
              <c:numCache/>
            </c:numRef>
          </c:yVal>
          <c:bubbleSize>
            <c:numLit>
              <c:ptCount val="1"/>
              <c:pt idx="0">
                <c:v>1</c:v>
              </c:pt>
            </c:numLit>
          </c:bubbleSize>
        </c:ser>
        <c:ser>
          <c:idx val="17"/>
          <c:order val="17"/>
          <c:tx>
            <c:strRef>
              <c:f>'2023_Stats'!$E$19</c:f>
            </c:strRef>
          </c:tx>
          <c:dLbls>
            <c:dLblPos val="ctr"/>
            <c:showLegendKey val="0"/>
            <c:showVal val="0"/>
            <c:showCatName val="0"/>
            <c:showSerName val="1"/>
            <c:showPercent val="0"/>
            <c:showBubbleSize val="0"/>
          </c:dLbls>
          <c:xVal>
            <c:strRef>
              <c:f>'2023_Stats'!$F$19</c:f>
            </c:strRef>
          </c:xVal>
          <c:yVal>
            <c:numRef>
              <c:f>'2023_Stats'!$A$19</c:f>
              <c:numCache/>
            </c:numRef>
          </c:yVal>
          <c:bubbleSize>
            <c:numLit>
              <c:ptCount val="1"/>
              <c:pt idx="0">
                <c:v>1</c:v>
              </c:pt>
            </c:numLit>
          </c:bubbleSize>
        </c:ser>
        <c:ser>
          <c:idx val="18"/>
          <c:order val="18"/>
          <c:tx>
            <c:strRef>
              <c:f>'2023_Stats'!$E$20</c:f>
            </c:strRef>
          </c:tx>
          <c:dLbls>
            <c:dLblPos val="ctr"/>
            <c:showLegendKey val="0"/>
            <c:showVal val="0"/>
            <c:showCatName val="0"/>
            <c:showSerName val="1"/>
            <c:showPercent val="0"/>
            <c:showBubbleSize val="0"/>
          </c:dLbls>
          <c:xVal>
            <c:strRef>
              <c:f>'2023_Stats'!$F$20</c:f>
            </c:strRef>
          </c:xVal>
          <c:yVal>
            <c:numRef>
              <c:f>'2023_Stats'!$A$20</c:f>
              <c:numCache/>
            </c:numRef>
          </c:yVal>
          <c:bubbleSize>
            <c:numLit>
              <c:ptCount val="1"/>
              <c:pt idx="0">
                <c:v>1</c:v>
              </c:pt>
            </c:numLit>
          </c:bubbleSize>
        </c:ser>
        <c:ser>
          <c:idx val="19"/>
          <c:order val="19"/>
          <c:tx>
            <c:strRef>
              <c:f>'2023_Stats'!$E$21</c:f>
            </c:strRef>
          </c:tx>
          <c:dLbls>
            <c:dLblPos val="ctr"/>
            <c:showLegendKey val="0"/>
            <c:showVal val="0"/>
            <c:showCatName val="0"/>
            <c:showSerName val="1"/>
            <c:showPercent val="0"/>
            <c:showBubbleSize val="0"/>
          </c:dLbls>
          <c:xVal>
            <c:strRef>
              <c:f>'2023_Stats'!$F$21</c:f>
            </c:strRef>
          </c:xVal>
          <c:yVal>
            <c:numRef>
              <c:f>'2023_Stats'!$A$21</c:f>
              <c:numCache/>
            </c:numRef>
          </c:yVal>
          <c:bubbleSize>
            <c:numLit>
              <c:ptCount val="1"/>
              <c:pt idx="0">
                <c:v>1</c:v>
              </c:pt>
            </c:numLit>
          </c:bubbleSize>
        </c:ser>
        <c:axId val="746892980"/>
        <c:axId val="551172652"/>
      </c:bubbleChart>
      <c:valAx>
        <c:axId val="7468929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551172652"/>
      </c:valAx>
      <c:valAx>
        <c:axId val="551172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746892980"/>
      </c:valAx>
    </c:plotArea>
    <c:legend>
      <c:legendPos val="r"/>
      <c:overlay val="0"/>
      <c:txPr>
        <a:bodyPr/>
        <a:lstStyle/>
        <a:p>
          <a:pPr lvl="0">
            <a:defRPr b="0" i="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IPL 2022 Player Value Ranking</a:t>
            </a:r>
          </a:p>
        </c:rich>
      </c:tx>
      <c:overlay val="0"/>
    </c:title>
    <c:plotArea>
      <c:layout/>
      <c:barChart>
        <c:barDir val="bar"/>
        <c:ser>
          <c:idx val="0"/>
          <c:order val="0"/>
          <c:tx>
            <c:v>valueformoney(rating out of 100)</c:v>
          </c:tx>
          <c:spPr>
            <a:solidFill>
              <a:schemeClr val="accent1"/>
            </a:solidFill>
            <a:ln cmpd="sng">
              <a:noFill/>
            </a:ln>
          </c:spPr>
          <c:cat>
            <c:strRef>
              <c:f>'2022_Stats'!$A$2:$A$21</c:f>
            </c:strRef>
          </c:cat>
          <c:val>
            <c:numRef>
              <c:f>'2022_Stats'!$G$2:$G$21</c:f>
              <c:numCache/>
            </c:numRef>
          </c:val>
        </c:ser>
        <c:axId val="659339920"/>
        <c:axId val="46957470"/>
      </c:barChart>
      <c:catAx>
        <c:axId val="659339920"/>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Player Name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46957470"/>
      </c:catAx>
      <c:valAx>
        <c:axId val="469574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659339920"/>
        <c:crosses val="max"/>
      </c:valAx>
    </c:plotArea>
    <c:legend>
      <c:legendPos val="r"/>
      <c:overlay val="0"/>
      <c:txPr>
        <a:bodyPr/>
        <a:lstStyle/>
        <a:p>
          <a:pPr lvl="0">
            <a:defRPr b="0" i="0">
              <a:solidFill>
                <a:srgbClr val="1A1A1A"/>
              </a:solidFill>
              <a:latin typeface="+mn-lt"/>
            </a:defRPr>
          </a:pPr>
        </a:p>
      </c:txPr>
    </c:legend>
    <c:plotVisOnly val="1"/>
  </c:chart>
  <c:spPr>
    <a:solidFill>
      <a:srgbClr val="D9D9D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Price Paid vs Performance 2022</a:t>
            </a:r>
          </a:p>
        </c:rich>
      </c:tx>
      <c:overlay val="0"/>
    </c:title>
    <c:plotArea>
      <c:layout/>
      <c:bubbleChart>
        <c:ser>
          <c:idx val="0"/>
          <c:order val="0"/>
          <c:tx>
            <c:strRef>
              <c:f>'2022_Stats'!$E$2</c:f>
            </c:strRef>
          </c:tx>
          <c:dLbls>
            <c:dLblPos val="ctr"/>
            <c:showLegendKey val="0"/>
            <c:showVal val="0"/>
            <c:showCatName val="0"/>
            <c:showSerName val="1"/>
            <c:showPercent val="0"/>
            <c:showBubbleSize val="0"/>
          </c:dLbls>
          <c:xVal>
            <c:strRef>
              <c:f>'2022_Stats'!$F$2</c:f>
            </c:strRef>
          </c:xVal>
          <c:yVal>
            <c:numRef>
              <c:f>'2022_Stats'!$A$2</c:f>
              <c:numCache/>
            </c:numRef>
          </c:yVal>
          <c:bubbleSize>
            <c:numLit>
              <c:ptCount val="1"/>
              <c:pt idx="0">
                <c:v>1</c:v>
              </c:pt>
            </c:numLit>
          </c:bubbleSize>
        </c:ser>
        <c:ser>
          <c:idx val="1"/>
          <c:order val="1"/>
          <c:tx>
            <c:strRef>
              <c:f>'2022_Stats'!$E$3</c:f>
            </c:strRef>
          </c:tx>
          <c:dLbls>
            <c:dLblPos val="ctr"/>
            <c:showLegendKey val="0"/>
            <c:showVal val="0"/>
            <c:showCatName val="0"/>
            <c:showSerName val="1"/>
            <c:showPercent val="0"/>
            <c:showBubbleSize val="0"/>
          </c:dLbls>
          <c:xVal>
            <c:strRef>
              <c:f>'2022_Stats'!$F$3</c:f>
            </c:strRef>
          </c:xVal>
          <c:yVal>
            <c:numRef>
              <c:f>'2022_Stats'!$A$3</c:f>
              <c:numCache/>
            </c:numRef>
          </c:yVal>
          <c:bubbleSize>
            <c:numLit>
              <c:ptCount val="1"/>
              <c:pt idx="0">
                <c:v>1</c:v>
              </c:pt>
            </c:numLit>
          </c:bubbleSize>
        </c:ser>
        <c:ser>
          <c:idx val="2"/>
          <c:order val="2"/>
          <c:tx>
            <c:strRef>
              <c:f>'2022_Stats'!$E$4</c:f>
            </c:strRef>
          </c:tx>
          <c:dLbls>
            <c:dLblPos val="ctr"/>
            <c:showLegendKey val="0"/>
            <c:showVal val="0"/>
            <c:showCatName val="0"/>
            <c:showSerName val="1"/>
            <c:showPercent val="0"/>
            <c:showBubbleSize val="0"/>
          </c:dLbls>
          <c:xVal>
            <c:strRef>
              <c:f>'2022_Stats'!$F$4</c:f>
            </c:strRef>
          </c:xVal>
          <c:yVal>
            <c:numRef>
              <c:f>'2022_Stats'!$A$4</c:f>
              <c:numCache/>
            </c:numRef>
          </c:yVal>
          <c:bubbleSize>
            <c:numLit>
              <c:ptCount val="1"/>
              <c:pt idx="0">
                <c:v>1</c:v>
              </c:pt>
            </c:numLit>
          </c:bubbleSize>
        </c:ser>
        <c:ser>
          <c:idx val="3"/>
          <c:order val="3"/>
          <c:tx>
            <c:strRef>
              <c:f>'2022_Stats'!$E$5</c:f>
            </c:strRef>
          </c:tx>
          <c:dLbls>
            <c:dLblPos val="ctr"/>
            <c:showLegendKey val="0"/>
            <c:showVal val="0"/>
            <c:showCatName val="0"/>
            <c:showSerName val="1"/>
            <c:showPercent val="0"/>
            <c:showBubbleSize val="0"/>
          </c:dLbls>
          <c:xVal>
            <c:strRef>
              <c:f>'2022_Stats'!$F$5</c:f>
            </c:strRef>
          </c:xVal>
          <c:yVal>
            <c:numRef>
              <c:f>'2022_Stats'!$A$5</c:f>
              <c:numCache/>
            </c:numRef>
          </c:yVal>
          <c:bubbleSize>
            <c:numLit>
              <c:ptCount val="1"/>
              <c:pt idx="0">
                <c:v>1</c:v>
              </c:pt>
            </c:numLit>
          </c:bubbleSize>
        </c:ser>
        <c:ser>
          <c:idx val="4"/>
          <c:order val="4"/>
          <c:tx>
            <c:strRef>
              <c:f>'2022_Stats'!$E$6</c:f>
            </c:strRef>
          </c:tx>
          <c:dLbls>
            <c:dLblPos val="ctr"/>
            <c:showLegendKey val="0"/>
            <c:showVal val="0"/>
            <c:showCatName val="0"/>
            <c:showSerName val="1"/>
            <c:showPercent val="0"/>
            <c:showBubbleSize val="0"/>
          </c:dLbls>
          <c:xVal>
            <c:strRef>
              <c:f>'2022_Stats'!$F$6</c:f>
            </c:strRef>
          </c:xVal>
          <c:yVal>
            <c:numRef>
              <c:f>'2022_Stats'!$A$6</c:f>
              <c:numCache/>
            </c:numRef>
          </c:yVal>
          <c:bubbleSize>
            <c:numLit>
              <c:ptCount val="1"/>
              <c:pt idx="0">
                <c:v>1</c:v>
              </c:pt>
            </c:numLit>
          </c:bubbleSize>
        </c:ser>
        <c:ser>
          <c:idx val="5"/>
          <c:order val="5"/>
          <c:tx>
            <c:strRef>
              <c:f>'2022_Stats'!$E$7</c:f>
            </c:strRef>
          </c:tx>
          <c:dLbls>
            <c:dLblPos val="ctr"/>
            <c:showLegendKey val="0"/>
            <c:showVal val="0"/>
            <c:showCatName val="0"/>
            <c:showSerName val="1"/>
            <c:showPercent val="0"/>
            <c:showBubbleSize val="0"/>
          </c:dLbls>
          <c:xVal>
            <c:strRef>
              <c:f>'2022_Stats'!$F$7</c:f>
            </c:strRef>
          </c:xVal>
          <c:yVal>
            <c:numRef>
              <c:f>'2022_Stats'!$A$7</c:f>
              <c:numCache/>
            </c:numRef>
          </c:yVal>
          <c:bubbleSize>
            <c:numLit>
              <c:ptCount val="1"/>
              <c:pt idx="0">
                <c:v>1</c:v>
              </c:pt>
            </c:numLit>
          </c:bubbleSize>
        </c:ser>
        <c:ser>
          <c:idx val="6"/>
          <c:order val="6"/>
          <c:tx>
            <c:strRef>
              <c:f>'2022_Stats'!$E$8</c:f>
            </c:strRef>
          </c:tx>
          <c:dLbls>
            <c:dLblPos val="ctr"/>
            <c:showLegendKey val="0"/>
            <c:showVal val="0"/>
            <c:showCatName val="0"/>
            <c:showSerName val="1"/>
            <c:showPercent val="0"/>
            <c:showBubbleSize val="0"/>
          </c:dLbls>
          <c:xVal>
            <c:strRef>
              <c:f>'2022_Stats'!$F$8</c:f>
            </c:strRef>
          </c:xVal>
          <c:yVal>
            <c:numRef>
              <c:f>'2022_Stats'!$A$8</c:f>
              <c:numCache/>
            </c:numRef>
          </c:yVal>
          <c:bubbleSize>
            <c:numLit>
              <c:ptCount val="1"/>
              <c:pt idx="0">
                <c:v>1</c:v>
              </c:pt>
            </c:numLit>
          </c:bubbleSize>
        </c:ser>
        <c:ser>
          <c:idx val="7"/>
          <c:order val="7"/>
          <c:tx>
            <c:strRef>
              <c:f>'2022_Stats'!$E$9</c:f>
            </c:strRef>
          </c:tx>
          <c:dLbls>
            <c:dLblPos val="ctr"/>
            <c:showLegendKey val="0"/>
            <c:showVal val="0"/>
            <c:showCatName val="0"/>
            <c:showSerName val="1"/>
            <c:showPercent val="0"/>
            <c:showBubbleSize val="0"/>
          </c:dLbls>
          <c:xVal>
            <c:strRef>
              <c:f>'2022_Stats'!$F$9</c:f>
            </c:strRef>
          </c:xVal>
          <c:yVal>
            <c:numRef>
              <c:f>'2022_Stats'!$A$9</c:f>
              <c:numCache/>
            </c:numRef>
          </c:yVal>
          <c:bubbleSize>
            <c:numLit>
              <c:ptCount val="1"/>
              <c:pt idx="0">
                <c:v>1</c:v>
              </c:pt>
            </c:numLit>
          </c:bubbleSize>
        </c:ser>
        <c:ser>
          <c:idx val="8"/>
          <c:order val="8"/>
          <c:tx>
            <c:strRef>
              <c:f>'2022_Stats'!$E$10</c:f>
            </c:strRef>
          </c:tx>
          <c:dLbls>
            <c:dLblPos val="ctr"/>
            <c:showLegendKey val="0"/>
            <c:showVal val="0"/>
            <c:showCatName val="0"/>
            <c:showSerName val="1"/>
            <c:showPercent val="0"/>
            <c:showBubbleSize val="0"/>
          </c:dLbls>
          <c:xVal>
            <c:strRef>
              <c:f>'2022_Stats'!$F$10</c:f>
            </c:strRef>
          </c:xVal>
          <c:yVal>
            <c:numRef>
              <c:f>'2022_Stats'!$A$10</c:f>
              <c:numCache/>
            </c:numRef>
          </c:yVal>
          <c:bubbleSize>
            <c:numLit>
              <c:ptCount val="1"/>
              <c:pt idx="0">
                <c:v>1</c:v>
              </c:pt>
            </c:numLit>
          </c:bubbleSize>
        </c:ser>
        <c:ser>
          <c:idx val="9"/>
          <c:order val="9"/>
          <c:tx>
            <c:strRef>
              <c:f>'2022_Stats'!$E$11</c:f>
            </c:strRef>
          </c:tx>
          <c:dLbls>
            <c:dLblPos val="ctr"/>
            <c:showLegendKey val="0"/>
            <c:showVal val="0"/>
            <c:showCatName val="0"/>
            <c:showSerName val="1"/>
            <c:showPercent val="0"/>
            <c:showBubbleSize val="0"/>
          </c:dLbls>
          <c:xVal>
            <c:strRef>
              <c:f>'2022_Stats'!$F$11</c:f>
            </c:strRef>
          </c:xVal>
          <c:yVal>
            <c:numRef>
              <c:f>'2022_Stats'!$A$11</c:f>
              <c:numCache/>
            </c:numRef>
          </c:yVal>
          <c:bubbleSize>
            <c:numLit>
              <c:ptCount val="1"/>
              <c:pt idx="0">
                <c:v>1</c:v>
              </c:pt>
            </c:numLit>
          </c:bubbleSize>
        </c:ser>
        <c:ser>
          <c:idx val="10"/>
          <c:order val="10"/>
          <c:tx>
            <c:strRef>
              <c:f>'2022_Stats'!$E$12</c:f>
            </c:strRef>
          </c:tx>
          <c:dLbls>
            <c:dLblPos val="ctr"/>
            <c:showLegendKey val="0"/>
            <c:showVal val="0"/>
            <c:showCatName val="0"/>
            <c:showSerName val="1"/>
            <c:showPercent val="0"/>
            <c:showBubbleSize val="0"/>
          </c:dLbls>
          <c:xVal>
            <c:strRef>
              <c:f>'2022_Stats'!$F$12</c:f>
            </c:strRef>
          </c:xVal>
          <c:yVal>
            <c:numRef>
              <c:f>'2022_Stats'!$A$12</c:f>
              <c:numCache/>
            </c:numRef>
          </c:yVal>
          <c:bubbleSize>
            <c:numLit>
              <c:ptCount val="1"/>
              <c:pt idx="0">
                <c:v>1</c:v>
              </c:pt>
            </c:numLit>
          </c:bubbleSize>
        </c:ser>
        <c:ser>
          <c:idx val="11"/>
          <c:order val="11"/>
          <c:tx>
            <c:strRef>
              <c:f>'2022_Stats'!$E$13</c:f>
            </c:strRef>
          </c:tx>
          <c:dLbls>
            <c:dLblPos val="ctr"/>
            <c:showLegendKey val="0"/>
            <c:showVal val="0"/>
            <c:showCatName val="0"/>
            <c:showSerName val="1"/>
            <c:showPercent val="0"/>
            <c:showBubbleSize val="0"/>
          </c:dLbls>
          <c:xVal>
            <c:strRef>
              <c:f>'2022_Stats'!$F$13</c:f>
            </c:strRef>
          </c:xVal>
          <c:yVal>
            <c:numRef>
              <c:f>'2022_Stats'!$A$13</c:f>
              <c:numCache/>
            </c:numRef>
          </c:yVal>
          <c:bubbleSize>
            <c:numLit>
              <c:ptCount val="1"/>
              <c:pt idx="0">
                <c:v>1</c:v>
              </c:pt>
            </c:numLit>
          </c:bubbleSize>
        </c:ser>
        <c:ser>
          <c:idx val="12"/>
          <c:order val="12"/>
          <c:tx>
            <c:strRef>
              <c:f>'2022_Stats'!$E$14</c:f>
            </c:strRef>
          </c:tx>
          <c:dLbls>
            <c:dLblPos val="ctr"/>
            <c:showLegendKey val="0"/>
            <c:showVal val="0"/>
            <c:showCatName val="0"/>
            <c:showSerName val="1"/>
            <c:showPercent val="0"/>
            <c:showBubbleSize val="0"/>
          </c:dLbls>
          <c:xVal>
            <c:strRef>
              <c:f>'2022_Stats'!$F$14</c:f>
            </c:strRef>
          </c:xVal>
          <c:yVal>
            <c:numRef>
              <c:f>'2022_Stats'!$A$14</c:f>
              <c:numCache/>
            </c:numRef>
          </c:yVal>
          <c:bubbleSize>
            <c:numLit>
              <c:ptCount val="1"/>
              <c:pt idx="0">
                <c:v>1</c:v>
              </c:pt>
            </c:numLit>
          </c:bubbleSize>
        </c:ser>
        <c:ser>
          <c:idx val="13"/>
          <c:order val="13"/>
          <c:tx>
            <c:strRef>
              <c:f>'2022_Stats'!$E$15</c:f>
            </c:strRef>
          </c:tx>
          <c:dLbls>
            <c:dLblPos val="ctr"/>
            <c:showLegendKey val="0"/>
            <c:showVal val="0"/>
            <c:showCatName val="0"/>
            <c:showSerName val="1"/>
            <c:showPercent val="0"/>
            <c:showBubbleSize val="0"/>
          </c:dLbls>
          <c:xVal>
            <c:strRef>
              <c:f>'2022_Stats'!$F$15</c:f>
            </c:strRef>
          </c:xVal>
          <c:yVal>
            <c:numRef>
              <c:f>'2022_Stats'!$A$15</c:f>
              <c:numCache/>
            </c:numRef>
          </c:yVal>
          <c:bubbleSize>
            <c:numLit>
              <c:ptCount val="1"/>
              <c:pt idx="0">
                <c:v>1</c:v>
              </c:pt>
            </c:numLit>
          </c:bubbleSize>
        </c:ser>
        <c:ser>
          <c:idx val="14"/>
          <c:order val="14"/>
          <c:tx>
            <c:strRef>
              <c:f>'2022_Stats'!$E$16</c:f>
            </c:strRef>
          </c:tx>
          <c:dLbls>
            <c:dLblPos val="ctr"/>
            <c:showLegendKey val="0"/>
            <c:showVal val="0"/>
            <c:showCatName val="0"/>
            <c:showSerName val="1"/>
            <c:showPercent val="0"/>
            <c:showBubbleSize val="0"/>
          </c:dLbls>
          <c:xVal>
            <c:strRef>
              <c:f>'2022_Stats'!$F$16</c:f>
            </c:strRef>
          </c:xVal>
          <c:yVal>
            <c:numRef>
              <c:f>'2022_Stats'!$A$16</c:f>
              <c:numCache/>
            </c:numRef>
          </c:yVal>
          <c:bubbleSize>
            <c:numLit>
              <c:ptCount val="1"/>
              <c:pt idx="0">
                <c:v>1</c:v>
              </c:pt>
            </c:numLit>
          </c:bubbleSize>
        </c:ser>
        <c:ser>
          <c:idx val="15"/>
          <c:order val="15"/>
          <c:tx>
            <c:strRef>
              <c:f>'2022_Stats'!$E$17</c:f>
            </c:strRef>
          </c:tx>
          <c:dLbls>
            <c:dLblPos val="ctr"/>
            <c:showLegendKey val="0"/>
            <c:showVal val="0"/>
            <c:showCatName val="0"/>
            <c:showSerName val="1"/>
            <c:showPercent val="0"/>
            <c:showBubbleSize val="0"/>
          </c:dLbls>
          <c:xVal>
            <c:strRef>
              <c:f>'2022_Stats'!$F$17</c:f>
            </c:strRef>
          </c:xVal>
          <c:yVal>
            <c:numRef>
              <c:f>'2022_Stats'!$A$17</c:f>
              <c:numCache/>
            </c:numRef>
          </c:yVal>
          <c:bubbleSize>
            <c:numLit>
              <c:ptCount val="1"/>
              <c:pt idx="0">
                <c:v>1</c:v>
              </c:pt>
            </c:numLit>
          </c:bubbleSize>
        </c:ser>
        <c:ser>
          <c:idx val="16"/>
          <c:order val="16"/>
          <c:tx>
            <c:strRef>
              <c:f>'2022_Stats'!$E$18</c:f>
            </c:strRef>
          </c:tx>
          <c:dLbls>
            <c:dLblPos val="ctr"/>
            <c:showLegendKey val="0"/>
            <c:showVal val="0"/>
            <c:showCatName val="0"/>
            <c:showSerName val="1"/>
            <c:showPercent val="0"/>
            <c:showBubbleSize val="0"/>
          </c:dLbls>
          <c:xVal>
            <c:strRef>
              <c:f>'2022_Stats'!$F$18</c:f>
            </c:strRef>
          </c:xVal>
          <c:yVal>
            <c:numRef>
              <c:f>'2022_Stats'!$A$18</c:f>
              <c:numCache/>
            </c:numRef>
          </c:yVal>
          <c:bubbleSize>
            <c:numLit>
              <c:ptCount val="1"/>
              <c:pt idx="0">
                <c:v>1</c:v>
              </c:pt>
            </c:numLit>
          </c:bubbleSize>
        </c:ser>
        <c:ser>
          <c:idx val="17"/>
          <c:order val="17"/>
          <c:tx>
            <c:strRef>
              <c:f>'2022_Stats'!$E$19</c:f>
            </c:strRef>
          </c:tx>
          <c:dLbls>
            <c:dLblPos val="ctr"/>
            <c:showLegendKey val="0"/>
            <c:showVal val="0"/>
            <c:showCatName val="0"/>
            <c:showSerName val="1"/>
            <c:showPercent val="0"/>
            <c:showBubbleSize val="0"/>
          </c:dLbls>
          <c:xVal>
            <c:strRef>
              <c:f>'2022_Stats'!$F$19</c:f>
            </c:strRef>
          </c:xVal>
          <c:yVal>
            <c:numRef>
              <c:f>'2022_Stats'!$A$19</c:f>
              <c:numCache/>
            </c:numRef>
          </c:yVal>
          <c:bubbleSize>
            <c:numLit>
              <c:ptCount val="1"/>
              <c:pt idx="0">
                <c:v>1</c:v>
              </c:pt>
            </c:numLit>
          </c:bubbleSize>
        </c:ser>
        <c:ser>
          <c:idx val="18"/>
          <c:order val="18"/>
          <c:tx>
            <c:strRef>
              <c:f>'2022_Stats'!$E$20</c:f>
            </c:strRef>
          </c:tx>
          <c:dLbls>
            <c:dLblPos val="ctr"/>
            <c:showLegendKey val="0"/>
            <c:showVal val="0"/>
            <c:showCatName val="0"/>
            <c:showSerName val="1"/>
            <c:showPercent val="0"/>
            <c:showBubbleSize val="0"/>
          </c:dLbls>
          <c:xVal>
            <c:strRef>
              <c:f>'2022_Stats'!$F$20</c:f>
            </c:strRef>
          </c:xVal>
          <c:yVal>
            <c:numRef>
              <c:f>'2022_Stats'!$A$20</c:f>
              <c:numCache/>
            </c:numRef>
          </c:yVal>
          <c:bubbleSize>
            <c:numLit>
              <c:ptCount val="1"/>
              <c:pt idx="0">
                <c:v>1</c:v>
              </c:pt>
            </c:numLit>
          </c:bubbleSize>
        </c:ser>
        <c:ser>
          <c:idx val="19"/>
          <c:order val="19"/>
          <c:tx>
            <c:strRef>
              <c:f>'2022_Stats'!$E$21</c:f>
            </c:strRef>
          </c:tx>
          <c:dLbls>
            <c:dLblPos val="ctr"/>
            <c:showLegendKey val="0"/>
            <c:showVal val="0"/>
            <c:showCatName val="0"/>
            <c:showSerName val="1"/>
            <c:showPercent val="0"/>
            <c:showBubbleSize val="0"/>
          </c:dLbls>
          <c:xVal>
            <c:strRef>
              <c:f>'2022_Stats'!$F$21</c:f>
            </c:strRef>
          </c:xVal>
          <c:yVal>
            <c:numRef>
              <c:f>'2022_Stats'!$A$21</c:f>
              <c:numCache/>
            </c:numRef>
          </c:yVal>
          <c:bubbleSize>
            <c:numLit>
              <c:ptCount val="1"/>
              <c:pt idx="0">
                <c:v>1</c:v>
              </c:pt>
            </c:numLit>
          </c:bubbleSize>
        </c:ser>
        <c:axId val="1502905581"/>
        <c:axId val="1245514915"/>
      </c:bubbleChart>
      <c:valAx>
        <c:axId val="15029055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Price In Cr</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45514915"/>
      </c:valAx>
      <c:valAx>
        <c:axId val="12455149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Player Value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502905581"/>
      </c:valAx>
    </c:plotArea>
    <c:legend>
      <c:legendPos val="r"/>
      <c:overlay val="0"/>
      <c:txPr>
        <a:bodyPr/>
        <a:lstStyle/>
        <a:p>
          <a:pPr lvl="0">
            <a:defRPr b="0" i="0">
              <a:solidFill>
                <a:srgbClr val="1A1A1A"/>
              </a:solidFill>
              <a:latin typeface="+mn-lt"/>
            </a:defRPr>
          </a:pPr>
        </a:p>
      </c:txPr>
    </c:legend>
    <c:plotVisOnly val="1"/>
  </c:chart>
  <c:spPr>
    <a:solidFill>
      <a:srgbClr val="D9D9D9"/>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23</xdr:row>
      <xdr:rowOff>47625</xdr:rowOff>
    </xdr:from>
    <xdr:ext cx="13115925" cy="2228850"/>
    <xdr:pic>
      <xdr:nvPicPr>
        <xdr:cNvPr id="90288162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2724150</xdr:colOff>
      <xdr:row>1</xdr:row>
      <xdr:rowOff>0</xdr:rowOff>
    </xdr:from>
    <xdr:ext cx="8210550" cy="353377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142875</xdr:colOff>
      <xdr:row>4</xdr:row>
      <xdr:rowOff>9525</xdr:rowOff>
    </xdr:from>
    <xdr:ext cx="2505075" cy="2857500"/>
    <mc:AlternateContent>
      <mc:Choice Requires="sle15">
        <xdr:graphicFrame>
          <xdr:nvGraphicFramePr>
            <xdr:cNvPr id="1" name="season_1"/>
            <xdr:cNvGraphicFramePr/>
          </xdr:nvGraphicFramePr>
          <xdr:xfrm>
            <a:off x="0" y="0"/>
            <a:ext cx="0" cy="0"/>
          </xdr:xfrm>
          <a:graphic>
            <a:graphicData uri="http://schemas.microsoft.com/office/drawing/2010/slicer">
              <x3Unk:slicer name="seas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161925</xdr:colOff>
      <xdr:row>7</xdr:row>
      <xdr:rowOff>200025</xdr:rowOff>
    </xdr:from>
    <xdr:ext cx="2457450" cy="2857500"/>
    <mc:AlternateContent>
      <mc:Choice Requires="sle15">
        <xdr:graphicFrame>
          <xdr:nvGraphicFramePr>
            <xdr:cNvPr id="2" name="player_role_2"/>
            <xdr:cNvGraphicFramePr/>
          </xdr:nvGraphicFramePr>
          <xdr:xfrm>
            <a:off x="0" y="0"/>
            <a:ext cx="0" cy="0"/>
          </xdr:xfrm>
          <a:graphic>
            <a:graphicData uri="http://schemas.microsoft.com/office/drawing/2010/slicer">
              <x3Unk:slicer name="player_rol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419100</xdr:colOff>
      <xdr:row>4</xdr:row>
      <xdr:rowOff>133350</xdr:rowOff>
    </xdr:from>
    <xdr:ext cx="5715000" cy="3533775"/>
    <xdr:pic>
      <xdr:nvPicPr>
        <xdr:cNvPr id="708496161"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171450</xdr:colOff>
      <xdr:row>2</xdr:row>
      <xdr:rowOff>28575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304800</xdr:colOff>
      <xdr:row>22</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21</xdr:row>
      <xdr:rowOff>190500</xdr:rowOff>
    </xdr:from>
    <xdr:ext cx="4886325"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57150</xdr:colOff>
      <xdr:row>1</xdr:row>
      <xdr:rowOff>57150</xdr:rowOff>
    </xdr:from>
    <xdr:ext cx="2857500" cy="2857500"/>
    <mc:AlternateContent>
      <mc:Choice Requires="sle15">
        <xdr:graphicFrame>
          <xdr:nvGraphicFramePr>
            <xdr:cNvPr id="3" name="player_name_3"/>
            <xdr:cNvGraphicFramePr/>
          </xdr:nvGraphicFramePr>
          <xdr:xfrm>
            <a:off x="0" y="0"/>
            <a:ext cx="0" cy="0"/>
          </xdr:xfrm>
          <a:graphic>
            <a:graphicData uri="http://schemas.microsoft.com/office/drawing/2010/slicer">
              <x3Unk:slicer name="player_nam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962025</xdr:colOff>
      <xdr:row>5</xdr:row>
      <xdr:rowOff>142875</xdr:rowOff>
    </xdr:from>
    <xdr:ext cx="2857500" cy="2857500"/>
    <mc:AlternateContent>
      <mc:Choice Requires="sle15">
        <xdr:graphicFrame>
          <xdr:nvGraphicFramePr>
            <xdr:cNvPr id="4" name="player_role_4"/>
            <xdr:cNvGraphicFramePr/>
          </xdr:nvGraphicFramePr>
          <xdr:xfrm>
            <a:off x="0" y="0"/>
            <a:ext cx="0" cy="0"/>
          </xdr:xfrm>
          <a:graphic>
            <a:graphicData uri="http://schemas.microsoft.com/office/drawing/2010/slicer">
              <x3Unk:slicer name="player_rol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276225</xdr:colOff>
      <xdr:row>5</xdr:row>
      <xdr:rowOff>47625</xdr:rowOff>
    </xdr:from>
    <xdr:ext cx="7781925" cy="50768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00725"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238125</xdr:colOff>
      <xdr:row>1</xdr:row>
      <xdr:rowOff>57150</xdr:rowOff>
    </xdr:from>
    <xdr:ext cx="2857500" cy="2857500"/>
    <mc:AlternateContent>
      <mc:Choice Requires="sle15">
        <xdr:graphicFrame>
          <xdr:nvGraphicFramePr>
            <xdr:cNvPr id="5" name="player_role_5"/>
            <xdr:cNvGraphicFramePr/>
          </xdr:nvGraphicFramePr>
          <xdr:xfrm>
            <a:off x="0" y="0"/>
            <a:ext cx="0" cy="0"/>
          </xdr:xfrm>
          <a:graphic>
            <a:graphicData uri="http://schemas.microsoft.com/office/drawing/2010/slicer">
              <x3Unk:slicer name="player_rol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238125</xdr:colOff>
      <xdr:row>5</xdr:row>
      <xdr:rowOff>114300</xdr:rowOff>
    </xdr:from>
    <xdr:ext cx="2857500" cy="2857500"/>
    <mc:AlternateContent>
      <mc:Choice Requires="sle15">
        <xdr:graphicFrame>
          <xdr:nvGraphicFramePr>
            <xdr:cNvPr id="6" name="player_name_6"/>
            <xdr:cNvGraphicFramePr/>
          </xdr:nvGraphicFramePr>
          <xdr:xfrm>
            <a:off x="0" y="0"/>
            <a:ext cx="0" cy="0"/>
          </xdr:xfrm>
          <a:graphic>
            <a:graphicData uri="http://schemas.microsoft.com/office/drawing/2010/slicer">
              <x3Unk:slicer name="player_name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47625</xdr:rowOff>
    </xdr:from>
    <xdr:ext cx="5800725"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4</xdr:row>
      <xdr:rowOff>47625</xdr:rowOff>
    </xdr:from>
    <xdr:ext cx="4924425"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22</xdr:row>
      <xdr:rowOff>142875</xdr:rowOff>
    </xdr:from>
    <xdr:ext cx="5800725" cy="3533775"/>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933450</xdr:colOff>
      <xdr:row>22</xdr:row>
      <xdr:rowOff>142875</xdr:rowOff>
    </xdr:from>
    <xdr:ext cx="4886325" cy="35337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9525</xdr:colOff>
      <xdr:row>6</xdr:row>
      <xdr:rowOff>38100</xdr:rowOff>
    </xdr:from>
    <xdr:ext cx="2857500" cy="2857500"/>
    <mc:AlternateContent>
      <mc:Choice Requires="sle15">
        <xdr:graphicFrame>
          <xdr:nvGraphicFramePr>
            <xdr:cNvPr id="7" name="player_role_7"/>
            <xdr:cNvGraphicFramePr/>
          </xdr:nvGraphicFramePr>
          <xdr:xfrm>
            <a:off x="0" y="0"/>
            <a:ext cx="0" cy="0"/>
          </xdr:xfrm>
          <a:graphic>
            <a:graphicData uri="http://schemas.microsoft.com/office/drawing/2010/slicer">
              <x3Unk:slicer name="player_role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9525</xdr:colOff>
      <xdr:row>9</xdr:row>
      <xdr:rowOff>114300</xdr:rowOff>
    </xdr:from>
    <xdr:ext cx="2857500" cy="2857500"/>
    <mc:AlternateContent>
      <mc:Choice Requires="sle15">
        <xdr:graphicFrame>
          <xdr:nvGraphicFramePr>
            <xdr:cNvPr id="8" name="player_name_8"/>
            <xdr:cNvGraphicFramePr/>
          </xdr:nvGraphicFramePr>
          <xdr:xfrm>
            <a:off x="0" y="0"/>
            <a:ext cx="0" cy="0"/>
          </xdr:xfrm>
          <a:graphic>
            <a:graphicData uri="http://schemas.microsoft.com/office/drawing/2010/slicer">
              <x3Unk:slicer name="player_name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57150</xdr:colOff>
      <xdr:row>25</xdr:row>
      <xdr:rowOff>95250</xdr:rowOff>
    </xdr:from>
    <xdr:ext cx="2857500" cy="2857500"/>
    <mc:AlternateContent>
      <mc:Choice Requires="sle15">
        <xdr:graphicFrame>
          <xdr:nvGraphicFramePr>
            <xdr:cNvPr id="9" name="player_role_9"/>
            <xdr:cNvGraphicFramePr/>
          </xdr:nvGraphicFramePr>
          <xdr:xfrm>
            <a:off x="0" y="0"/>
            <a:ext cx="0" cy="0"/>
          </xdr:xfrm>
          <a:graphic>
            <a:graphicData uri="http://schemas.microsoft.com/office/drawing/2010/slicer">
              <x3Unk:slicer name="player_role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9525</xdr:colOff>
      <xdr:row>30</xdr:row>
      <xdr:rowOff>152400</xdr:rowOff>
    </xdr:from>
    <xdr:ext cx="2857500" cy="2857500"/>
    <mc:AlternateContent>
      <mc:Choice Requires="sle15">
        <xdr:graphicFrame>
          <xdr:nvGraphicFramePr>
            <xdr:cNvPr id="10" name="player_name_10"/>
            <xdr:cNvGraphicFramePr/>
          </xdr:nvGraphicFramePr>
          <xdr:xfrm>
            <a:off x="0" y="0"/>
            <a:ext cx="0" cy="0"/>
          </xdr:xfrm>
          <a:graphic>
            <a:graphicData uri="http://schemas.microsoft.com/office/drawing/2010/slicer">
              <x3Unk:slicer name="player_name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5715000" cy="3533775"/>
    <xdr:pic>
      <xdr:nvPicPr>
        <xdr:cNvPr id="0" name="image1.png" title="Chart"/>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1" sheet="2022_Stats"/>
  </cacheSource>
  <cacheFields>
    <cacheField name="player_name" numFmtId="0">
      <sharedItems>
        <s v="Deepak Nair"/>
        <s v="Priya Singh"/>
        <s v="Suresh Rao"/>
        <s v="Ankit Verma"/>
        <s v="Kiran Mehta"/>
        <s v="Chris Blake"/>
        <s v="Tom Sullivan"/>
        <s v="Luca Ferreira"/>
        <s v="Vikram Das"/>
        <s v="Praveen Joshi"/>
        <s v="Nathan Ford"/>
        <s v="Raj Sharma"/>
        <s v="Arjun Patel"/>
        <s v="Hamid Shaikh"/>
        <s v="James Tanner"/>
        <s v="Carlos Mendez"/>
        <s v="Rohan Gill"/>
        <s v="Brendon Chase"/>
        <s v="Marco de Bruyn"/>
        <s v="Sanjay Kumar"/>
      </sharedItems>
    </cacheField>
    <cacheField name="player_role" numFmtId="0">
      <sharedItems>
        <s v="Bowler"/>
        <s v="Batsman"/>
        <s v="All-Rounder"/>
      </sharedItems>
    </cacheField>
    <cacheField name="team" numFmtId="0">
      <sharedItems>
        <s v="Hyderabad Hawks"/>
        <s v="Kolkata Knights"/>
        <s v="Chennai Tigers"/>
        <s v="Mumbai Lions"/>
        <s v="Delhi Dynamos"/>
        <s v="Rajasthan Riders"/>
        <s v="Punjab Royals"/>
      </sharedItems>
    </cacheField>
    <cacheField name="season" numFmtId="0">
      <sharedItems containsSemiMixedTypes="0" containsString="0" containsNumber="1" containsInteger="1">
        <n v="2022.0"/>
      </sharedItems>
    </cacheField>
    <cacheField name="sold_price_cr" numFmtId="0">
      <sharedItems containsSemiMixedTypes="0" containsString="0" containsNumber="1">
        <n v="1.5"/>
        <n v="1.2"/>
        <n v="1.8"/>
        <n v="2.0"/>
        <n v="3.5"/>
        <n v="6.5"/>
        <n v="7.0"/>
        <n v="10.0"/>
        <n v="5.5"/>
        <n v="1.0"/>
        <n v="9.0"/>
        <n v="14.0"/>
        <n v="15.25"/>
        <n v="3.0"/>
        <n v="11.0"/>
        <n v="8.5"/>
        <n v="8.0"/>
        <n v="4.5"/>
        <n v="2.5"/>
      </sharedItems>
    </cacheField>
    <cacheField name="rating(percentile)" numFmtId="0">
      <sharedItems containsSemiMixedTypes="0" containsString="0" containsNumber="1">
        <n v="100.0"/>
        <n v="62.0"/>
        <n v="66.0"/>
        <n v="32.9"/>
        <n v="57.1"/>
        <n v="82.9"/>
        <n v="64.0"/>
        <n v="34.3"/>
        <n v="6.0"/>
        <n v="52.0"/>
        <n v="74.3"/>
        <n v="75.0"/>
        <n v="14.3"/>
        <n v="49.0"/>
        <n v="34.0"/>
        <n v="29.0"/>
        <n v="14.0"/>
        <n v="15.0"/>
        <n v="0.0"/>
      </sharedItems>
    </cacheField>
    <cacheField name="valueformoney(rating out of 100)" numFmtId="0">
      <sharedItems containsSemiMixedTypes="0" containsString="0" containsNumber="1">
        <n v="66.67"/>
        <n v="51.67"/>
        <n v="36.67"/>
        <n v="16.45"/>
        <n v="16.31"/>
        <n v="15.38"/>
        <n v="11.84"/>
        <n v="6.4"/>
        <n v="6.24"/>
        <n v="6.0"/>
        <n v="5.78"/>
        <n v="5.31"/>
        <n v="4.92"/>
        <n v="4.77"/>
        <n v="4.45"/>
        <n v="4.0"/>
        <n v="3.62"/>
        <n v="3.11"/>
        <n v="1.67"/>
        <n v="0.0"/>
      </sharedItems>
    </cacheField>
    <cacheField name="IPL_RANK" numFmtId="0">
      <sharedItems containsSemiMixedTypes="0" containsString="0" containsNumber="1" containsInteger="1">
        <n v="1.0"/>
        <n v="3.0"/>
        <n v="2.0"/>
        <n v="6.0"/>
        <n v="4.0"/>
        <n v="5.0"/>
        <n v="7.0"/>
        <n v="8.0"/>
      </sharedItems>
    </cacheField>
    <cacheField name="stars" numFmtId="0">
      <sharedItems>
        <s v="5 - Steal_Buy"/>
        <s v="4 - Good_Buy"/>
        <s v="3 - Fair_Buy"/>
        <s v="2 - Overpriced"/>
        <s v="1 - Poor Buy"/>
      </sharedItems>
    </cacheField>
    <cacheField name="runs">
      <sharedItems containsMixedTypes="1" containsNumber="1" containsInteger="1">
        <s v=""/>
        <n v="310.0"/>
        <n v="390.0"/>
        <n v="520.0"/>
        <n v="430.0"/>
        <n v="290.0"/>
        <n v="360.0"/>
        <n v="480.0"/>
        <n v="300.0"/>
        <n v="280.0"/>
        <n v="260.0"/>
        <n v="240.0"/>
        <n v="200.0"/>
      </sharedItems>
    </cacheField>
    <cacheField name="average">
      <sharedItems containsMixedTypes="1" containsNumber="1">
        <s v=""/>
        <n v="25.83"/>
        <n v="30.0"/>
        <n v="43.33"/>
        <n v="33.08"/>
        <n v="22.31"/>
        <n v="27.69"/>
        <n v="34.29"/>
        <n v="22.14"/>
        <n v="25.0"/>
        <n v="20.0"/>
        <n v="17.14"/>
        <n v="15.38"/>
        <n v="23.33"/>
      </sharedItems>
    </cacheField>
    <cacheField name="strike_rate">
      <sharedItems containsMixedTypes="1" containsNumber="1">
        <s v=""/>
        <n v="119.23"/>
        <n v="125.81"/>
        <n v="157.58"/>
        <n v="126.47"/>
        <n v="126.09"/>
        <n v="124.14"/>
        <n v="126.32"/>
        <n v="129.17"/>
        <n v="117.65"/>
        <n v="127.27"/>
        <n v="123.81"/>
        <n v="120.0"/>
        <n v="116.67"/>
      </sharedItems>
    </cacheField>
    <cacheField name="bdry_pct">
      <sharedItems containsMixedTypes="1" containsNumber="1">
        <s v=""/>
        <n v="51.61"/>
        <n v="55.38"/>
        <n v="76.92"/>
        <n v="59.53"/>
        <n v="57.24"/>
        <n v="50.0"/>
        <n v="57.5"/>
        <n v="63.23"/>
        <n v="55.71"/>
        <n v="56.92"/>
        <n v="55.83"/>
        <n v="57.0"/>
        <n v="48.57"/>
      </sharedItems>
    </cacheField>
    <cacheField name="wickets">
      <sharedItems containsMixedTypes="1" containsNumber="1" containsInteger="1">
        <n v="26.0"/>
        <n v="25.0"/>
        <n v="23.0"/>
        <s v=""/>
        <n v="13.0"/>
        <n v="17.0"/>
        <n v="20.0"/>
        <n v="14.0"/>
        <n v="12.0"/>
        <n v="11.0"/>
        <n v="21.0"/>
        <n v="10.0"/>
      </sharedItems>
    </cacheField>
    <cacheField name="economy">
      <sharedItems containsMixedTypes="1" containsNumber="1">
        <n v="5.09"/>
        <n v="5.69"/>
        <n v="5.63"/>
        <s v=""/>
        <n v="6.5"/>
        <n v="6.25"/>
        <n v="5.38"/>
        <n v="6.73"/>
        <n v="6.46"/>
        <n v="6.41"/>
        <n v="6.2"/>
        <n v="5.92"/>
        <n v="6.55"/>
      </sharedItems>
    </cacheField>
    <cacheField name="wkt_per_match">
      <sharedItems containsMixedTypes="1" containsNumber="1">
        <n v="1.86"/>
        <n v="1.79"/>
        <n v="1.64"/>
        <s v=""/>
        <n v="0.93"/>
        <n v="1.21"/>
        <n v="1.43"/>
        <n v="1.0"/>
        <n v="0.86"/>
        <n v="0.79"/>
        <n v="1.5"/>
        <n v="0.71"/>
      </sharedItems>
    </cacheField>
    <cacheField name="dot_ball_pct">
      <sharedItems containsMixedTypes="1" containsNumber="1">
        <n v="61.78"/>
        <n v="60.34"/>
        <n v="59.52"/>
        <s v=""/>
        <n v="42.67"/>
        <n v="49.68"/>
        <n v="56.09"/>
        <n v="43.27"/>
        <n v="43.4"/>
        <n v="42.75"/>
        <n v="40.58"/>
        <n v="48.61"/>
        <n v="42.8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21" sheet="2023_Stats"/>
  </cacheSource>
  <cacheFields>
    <cacheField name="player_name" numFmtId="0">
      <sharedItems>
        <s v="Deepak Nair"/>
        <s v="Priya Singh"/>
        <s v="Suresh Rao"/>
        <s v="Kiran Mehta"/>
        <s v="Chris Blake"/>
        <s v="Tom Sullivan"/>
        <s v="Ankit Verma"/>
        <s v="Vikram Das"/>
        <s v="Hamid Shaikh"/>
        <s v="Nathan Ford"/>
        <s v="Praveen Joshi"/>
        <s v="Luca Ferreira"/>
        <s v="James Tanner"/>
        <s v="Carlos Mendez"/>
        <s v="Arjun Patel"/>
        <s v="Raj Sharma"/>
        <s v="Rohan Gill"/>
        <s v="Brendon Chase"/>
        <s v="Marco de Bruyn"/>
        <s v="Sanjay Kumar"/>
      </sharedItems>
    </cacheField>
    <cacheField name="player_role" numFmtId="0">
      <sharedItems>
        <s v="Bowler"/>
        <s v="Batsman"/>
        <s v="All-Rounder"/>
      </sharedItems>
    </cacheField>
    <cacheField name="team" numFmtId="0">
      <sharedItems>
        <s v="Hyderabad Hawks"/>
        <s v="Kolkata Knights"/>
        <s v="Chennai Tigers"/>
        <s v="Mumbai Lions"/>
        <s v="Delhi Dynamos"/>
        <s v="Rajasthan Riders"/>
        <s v="Punjab Royals"/>
      </sharedItems>
    </cacheField>
    <cacheField name="season" numFmtId="0">
      <sharedItems containsSemiMixedTypes="0" containsString="0" containsNumber="1" containsInteger="1">
        <n v="2023.0"/>
      </sharedItems>
    </cacheField>
    <cacheField name="sold_price_cr" numFmtId="0">
      <sharedItems containsSemiMixedTypes="0" containsString="0" containsNumber="1">
        <n v="1.8"/>
        <n v="2.0"/>
        <n v="2.5"/>
        <n v="4.0"/>
        <n v="9.0"/>
        <n v="8.0"/>
        <n v="3.5"/>
        <n v="6.0"/>
        <n v="7.5"/>
        <n v="1.2"/>
        <n v="12.0"/>
        <n v="13.5"/>
        <n v="10.0"/>
        <n v="17.0"/>
        <n v="16.5"/>
        <n v="9.5"/>
        <n v="6.5"/>
        <n v="11.0"/>
      </sharedItems>
    </cacheField>
    <cacheField name="rating(percentile)" numFmtId="0">
      <sharedItems containsSemiMixedTypes="0" containsString="0" containsNumber="1">
        <n v="100.0"/>
        <n v="68.0"/>
        <n v="60.0"/>
        <n v="50.0"/>
        <n v="82.9"/>
        <n v="28.6"/>
        <n v="41.4"/>
        <n v="22.9"/>
        <n v="44.0"/>
        <n v="6.0"/>
        <n v="64.0"/>
        <n v="46.0"/>
        <n v="77.0"/>
        <n v="74.3"/>
        <n v="33.0"/>
        <n v="22.0"/>
        <n v="16.0"/>
        <n v="0.0"/>
      </sharedItems>
    </cacheField>
    <cacheField name="valueformoney(rating out of 100)" numFmtId="0">
      <sharedItems containsSemiMixedTypes="0" containsString="0" containsNumber="1">
        <n v="55.56"/>
        <n v="34.0"/>
        <n v="24.0"/>
        <n v="12.5"/>
        <n v="11.11"/>
        <n v="10.36"/>
        <n v="8.17"/>
        <n v="6.9"/>
        <n v="6.54"/>
        <n v="5.87"/>
        <n v="5.0"/>
        <n v="4.74"/>
        <n v="4.6"/>
        <n v="4.53"/>
        <n v="4.5"/>
        <n v="3.47"/>
        <n v="3.38"/>
        <n v="1.45"/>
        <n v="0.0"/>
      </sharedItems>
    </cacheField>
    <cacheField name="IPL_RANK" numFmtId="0">
      <sharedItems containsSemiMixedTypes="0" containsString="0" containsNumber="1" containsInteger="1">
        <n v="1.0"/>
        <n v="2.0"/>
        <n v="3.0"/>
        <n v="4.0"/>
        <n v="6.0"/>
        <n v="5.0"/>
        <n v="7.0"/>
        <n v="8.0"/>
      </sharedItems>
    </cacheField>
    <cacheField name="stars" numFmtId="0">
      <sharedItems>
        <s v="5 - Steal_Buy"/>
        <s v="4 - Good_Buy"/>
        <s v="3 - Fair_Buy"/>
        <s v="2 - Overpriced"/>
        <s v="1 - Poor Buy"/>
      </sharedItems>
    </cacheField>
    <cacheField name="runs">
      <sharedItems containsMixedTypes="1" containsNumber="1" containsInteger="1">
        <s v=""/>
        <n v="390.0"/>
        <n v="520.0"/>
        <n v="430.0"/>
        <n v="310.0"/>
        <n v="360.0"/>
        <n v="300.0"/>
        <n v="290.0"/>
        <n v="280.0"/>
        <n v="260.0"/>
        <n v="480.0"/>
        <n v="240.0"/>
        <n v="200.0"/>
      </sharedItems>
    </cacheField>
    <cacheField name="average">
      <sharedItems containsMixedTypes="1" containsNumber="1">
        <s v=""/>
        <n v="30.0"/>
        <n v="43.33"/>
        <n v="33.08"/>
        <n v="25.83"/>
        <n v="27.69"/>
        <n v="25.0"/>
        <n v="22.31"/>
        <n v="20.0"/>
        <n v="22.14"/>
        <n v="34.29"/>
        <n v="17.14"/>
        <n v="15.38"/>
        <n v="23.33"/>
      </sharedItems>
    </cacheField>
    <cacheField name="strike_rate">
      <sharedItems containsMixedTypes="1" containsNumber="1">
        <s v=""/>
        <n v="125.81"/>
        <n v="157.58"/>
        <n v="126.47"/>
        <n v="119.23"/>
        <n v="124.14"/>
        <n v="117.65"/>
        <n v="126.09"/>
        <n v="127.27"/>
        <n v="123.81"/>
        <n v="129.17"/>
        <n v="126.32"/>
        <n v="120.0"/>
        <n v="116.67"/>
      </sharedItems>
    </cacheField>
    <cacheField name="bdry_pct">
      <sharedItems containsMixedTypes="1" containsNumber="1">
        <s v=""/>
        <n v="55.38"/>
        <n v="76.92"/>
        <n v="59.53"/>
        <n v="51.61"/>
        <n v="50.0"/>
        <n v="57.24"/>
        <n v="55.71"/>
        <n v="56.92"/>
        <n v="63.23"/>
        <n v="57.5"/>
        <n v="55.83"/>
        <n v="57.0"/>
        <n v="48.57"/>
      </sharedItems>
    </cacheField>
    <cacheField name="wickets">
      <sharedItems containsMixedTypes="1" containsNumber="1" containsInteger="1">
        <n v="26.0"/>
        <n v="25.0"/>
        <n v="23.0"/>
        <s v=""/>
        <n v="20.0"/>
        <n v="17.0"/>
        <n v="13.0"/>
        <n v="12.0"/>
        <n v="11.0"/>
        <n v="14.0"/>
        <n v="21.0"/>
        <n v="10.0"/>
      </sharedItems>
    </cacheField>
    <cacheField name="economy">
      <sharedItems containsMixedTypes="1" containsNumber="1">
        <n v="5.09"/>
        <n v="5.69"/>
        <n v="5.63"/>
        <s v=""/>
        <n v="5.38"/>
        <n v="6.25"/>
        <n v="6.5"/>
        <n v="6.46"/>
        <n v="6.41"/>
        <n v="6.73"/>
        <n v="6.2"/>
        <n v="5.92"/>
        <n v="6.55"/>
      </sharedItems>
    </cacheField>
    <cacheField name="wkt_per_match">
      <sharedItems containsMixedTypes="1" containsNumber="1">
        <n v="1.86"/>
        <n v="1.79"/>
        <n v="1.64"/>
        <s v=""/>
        <n v="1.43"/>
        <n v="1.21"/>
        <n v="0.93"/>
        <n v="0.86"/>
        <n v="0.79"/>
        <n v="1.0"/>
        <n v="1.5"/>
        <n v="0.71"/>
      </sharedItems>
    </cacheField>
    <cacheField name="dot_ball_pct">
      <sharedItems containsMixedTypes="1" containsNumber="1">
        <n v="61.78"/>
        <n v="60.34"/>
        <n v="59.52"/>
        <s v=""/>
        <n v="56.09"/>
        <n v="49.68"/>
        <n v="42.67"/>
        <n v="43.4"/>
        <n v="42.75"/>
        <n v="43.27"/>
        <n v="40.58"/>
        <n v="48.61"/>
        <n v="42.8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2022_Pivot" cacheId="0" dataCaption="" rowGrandTotals="0" compact="0" compactData="0">
  <location ref="A1:F21" firstHeaderRow="0" firstDataRow="3" firstDataCol="0"/>
  <pivotFields>
    <pivotField name="player_name" axis="axisRow" compact="0" outline="0" multipleItemSelectionAllowed="1" showAll="0" sortType="ascending">
      <items>
        <item x="0"/>
        <item x="1"/>
        <item x="2"/>
        <item x="3"/>
        <item x="4"/>
        <item x="5"/>
        <item x="6"/>
        <item x="7"/>
        <item x="8"/>
        <item x="9"/>
        <item x="10"/>
        <item x="11"/>
        <item x="12"/>
        <item x="13"/>
        <item x="14"/>
        <item x="15"/>
        <item x="16"/>
        <item x="17"/>
        <item x="18"/>
        <item x="19"/>
        <item t="default"/>
      </items>
      <autoSortScope>
        <pivotArea>
          <references>
            <reference field="4294967294">
              <x v="3"/>
            </reference>
          </references>
        </pivotArea>
      </autoSortScope>
    </pivotField>
    <pivotField name="player_role" axis="axisRow" compact="0" outline="0" multipleItemSelectionAllowed="1" showAll="0" sortType="ascending" defaultSubtotal="0">
      <items>
        <item x="2"/>
        <item x="1"/>
        <item x="0"/>
      </items>
    </pivotField>
    <pivotField name="team" compact="0" outline="0" multipleItemSelectionAllowed="1" showAll="0">
      <items>
        <item x="0"/>
        <item x="1"/>
        <item x="2"/>
        <item x="3"/>
        <item x="4"/>
        <item x="5"/>
        <item x="6"/>
        <item t="default"/>
      </items>
    </pivotField>
    <pivotField name="season" compact="0" outline="0" multipleItemSelectionAllowed="1" showAll="0">
      <items>
        <item x="0"/>
        <item t="default"/>
      </items>
    </pivotField>
    <pivotField name="sold_price_cr"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rating(percentile)"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valueformoney(rating out of 100)"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PL_RANK" dataField="1" compact="0" outline="0" multipleItemSelectionAllowed="1" showAll="0">
      <items>
        <item x="0"/>
        <item x="1"/>
        <item x="2"/>
        <item x="3"/>
        <item x="4"/>
        <item x="5"/>
        <item x="6"/>
        <item x="7"/>
        <item t="default"/>
      </items>
    </pivotField>
    <pivotField name="stars" compact="0" outline="0" multipleItemSelectionAllowed="1" showAll="0">
      <items>
        <item x="0"/>
        <item x="1"/>
        <item x="2"/>
        <item x="3"/>
        <item x="4"/>
        <item t="default"/>
      </items>
    </pivotField>
    <pivotField name="runs" compact="0" outline="0" multipleItemSelectionAllowed="1" showAll="0">
      <items>
        <item x="0"/>
        <item x="1"/>
        <item x="2"/>
        <item x="3"/>
        <item x="4"/>
        <item x="5"/>
        <item x="6"/>
        <item x="7"/>
        <item x="8"/>
        <item x="9"/>
        <item x="10"/>
        <item x="11"/>
        <item x="12"/>
        <item t="default"/>
      </items>
    </pivotField>
    <pivotField name="average" compact="0" outline="0" multipleItemSelectionAllowed="1" showAll="0">
      <items>
        <item x="0"/>
        <item x="1"/>
        <item x="2"/>
        <item x="3"/>
        <item x="4"/>
        <item x="5"/>
        <item x="6"/>
        <item x="7"/>
        <item x="8"/>
        <item x="9"/>
        <item x="10"/>
        <item x="11"/>
        <item x="12"/>
        <item x="13"/>
        <item t="default"/>
      </items>
    </pivotField>
    <pivotField name="strike_rate" compact="0" outline="0" multipleItemSelectionAllowed="1" showAll="0">
      <items>
        <item x="0"/>
        <item x="1"/>
        <item x="2"/>
        <item x="3"/>
        <item x="4"/>
        <item x="5"/>
        <item x="6"/>
        <item x="7"/>
        <item x="8"/>
        <item x="9"/>
        <item x="10"/>
        <item x="11"/>
        <item x="12"/>
        <item x="13"/>
        <item t="default"/>
      </items>
    </pivotField>
    <pivotField name="bdry_pct" compact="0" outline="0" multipleItemSelectionAllowed="1" showAll="0">
      <items>
        <item x="0"/>
        <item x="1"/>
        <item x="2"/>
        <item x="3"/>
        <item x="4"/>
        <item x="5"/>
        <item x="6"/>
        <item x="7"/>
        <item x="8"/>
        <item x="9"/>
        <item x="10"/>
        <item x="11"/>
        <item x="12"/>
        <item x="13"/>
        <item t="default"/>
      </items>
    </pivotField>
    <pivotField name="wickets" compact="0" outline="0" multipleItemSelectionAllowed="1" showAll="0">
      <items>
        <item x="0"/>
        <item x="1"/>
        <item x="2"/>
        <item x="3"/>
        <item x="4"/>
        <item x="5"/>
        <item x="6"/>
        <item x="7"/>
        <item x="8"/>
        <item x="9"/>
        <item x="10"/>
        <item x="11"/>
        <item t="default"/>
      </items>
    </pivotField>
    <pivotField name="economy" compact="0" outline="0" multipleItemSelectionAllowed="1" showAll="0">
      <items>
        <item x="0"/>
        <item x="1"/>
        <item x="2"/>
        <item x="3"/>
        <item x="4"/>
        <item x="5"/>
        <item x="6"/>
        <item x="7"/>
        <item x="8"/>
        <item x="9"/>
        <item x="10"/>
        <item x="11"/>
        <item x="12"/>
        <item t="default"/>
      </items>
    </pivotField>
    <pivotField name="wkt_per_match" compact="0" outline="0" multipleItemSelectionAllowed="1" showAll="0">
      <items>
        <item x="0"/>
        <item x="1"/>
        <item x="2"/>
        <item x="3"/>
        <item x="4"/>
        <item x="5"/>
        <item x="6"/>
        <item x="7"/>
        <item x="8"/>
        <item x="9"/>
        <item x="10"/>
        <item x="11"/>
        <item t="default"/>
      </items>
    </pivotField>
    <pivotField name="dot_ball_pct" compact="0" outline="0" multipleItemSelectionAllowed="1" showAll="0">
      <items>
        <item x="0"/>
        <item x="1"/>
        <item x="2"/>
        <item x="3"/>
        <item x="4"/>
        <item x="5"/>
        <item x="6"/>
        <item x="7"/>
        <item x="8"/>
        <item x="9"/>
        <item x="10"/>
        <item x="11"/>
        <item x="12"/>
        <item t="default"/>
      </items>
    </pivotField>
  </pivotFields>
  <rowFields>
    <field x="1"/>
    <field x="0"/>
  </rowFields>
  <colFields>
    <field x="-2"/>
  </colFields>
  <dataFields>
    <dataField name="AVERAGE of valueformoney(rating out of 100)" fld="6" subtotal="average" baseField="0"/>
    <dataField name="AVERAGE of rating(percentile)" fld="5" subtotal="average" baseField="0"/>
    <dataField name="AVERAGE of sold_price_cr" fld="4" subtotal="average" baseField="0"/>
    <dataField name="MIN of IPL_RANK" fld="7" subtotal="min" baseField="0"/>
  </dataFields>
</pivotTableDefinition>
</file>

<file path=xl/pivotTables/pivotTable2.xml><?xml version="1.0" encoding="utf-8"?>
<pivotTableDefinition xmlns="http://schemas.openxmlformats.org/spreadsheetml/2006/main" name="2023_pivot" cacheId="1" dataCaption="" rowGrandTotals="0" compact="0" compactData="0">
  <location ref="A1:F21" firstHeaderRow="0" firstDataRow="3" firstDataCol="0"/>
  <pivotFields>
    <pivotField name="player_name" axis="axisRow" compact="0" outline="0" multipleItemSelectionAllowed="1" showAll="0" sortType="ascending">
      <items>
        <item x="0"/>
        <item x="1"/>
        <item x="2"/>
        <item x="3"/>
        <item x="4"/>
        <item x="5"/>
        <item x="6"/>
        <item x="7"/>
        <item x="8"/>
        <item x="9"/>
        <item x="10"/>
        <item x="11"/>
        <item x="12"/>
        <item x="13"/>
        <item x="14"/>
        <item x="15"/>
        <item x="16"/>
        <item x="17"/>
        <item x="18"/>
        <item x="19"/>
        <item t="default"/>
      </items>
      <autoSortScope>
        <pivotArea>
          <references>
            <reference field="4294967294">
              <x v="3"/>
            </reference>
          </references>
        </pivotArea>
      </autoSortScope>
    </pivotField>
    <pivotField name="player_role" axis="axisRow" compact="0" outline="0" multipleItemSelectionAllowed="1" showAll="0" sortType="ascending" defaultSubtotal="0">
      <items>
        <item x="2"/>
        <item x="1"/>
        <item x="0"/>
      </items>
    </pivotField>
    <pivotField name="team" compact="0" outline="0" multipleItemSelectionAllowed="1" showAll="0">
      <items>
        <item x="0"/>
        <item x="1"/>
        <item x="2"/>
        <item x="3"/>
        <item x="4"/>
        <item x="5"/>
        <item x="6"/>
        <item t="default"/>
      </items>
    </pivotField>
    <pivotField name="season" compact="0" outline="0" multipleItemSelectionAllowed="1" showAll="0">
      <items>
        <item x="0"/>
        <item t="default"/>
      </items>
    </pivotField>
    <pivotField name="sold_price_cr" dataField="1" compact="0" outline="0" multipleItemSelectionAllowed="1" showAll="0">
      <items>
        <item x="0"/>
        <item x="1"/>
        <item x="2"/>
        <item x="3"/>
        <item x="4"/>
        <item x="5"/>
        <item x="6"/>
        <item x="7"/>
        <item x="8"/>
        <item x="9"/>
        <item x="10"/>
        <item x="11"/>
        <item x="12"/>
        <item x="13"/>
        <item x="14"/>
        <item x="15"/>
        <item x="16"/>
        <item x="17"/>
        <item t="default"/>
      </items>
    </pivotField>
    <pivotField name="rating(percentile)" dataField="1" compact="0" outline="0" multipleItemSelectionAllowed="1" showAll="0">
      <items>
        <item x="0"/>
        <item x="1"/>
        <item x="2"/>
        <item x="3"/>
        <item x="4"/>
        <item x="5"/>
        <item x="6"/>
        <item x="7"/>
        <item x="8"/>
        <item x="9"/>
        <item x="10"/>
        <item x="11"/>
        <item x="12"/>
        <item x="13"/>
        <item x="14"/>
        <item x="15"/>
        <item x="16"/>
        <item x="17"/>
        <item t="default"/>
      </items>
    </pivotField>
    <pivotField name="valueformoney(rating out of 100)"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IPL_RANK" dataField="1" compact="0" outline="0" multipleItemSelectionAllowed="1" showAll="0">
      <items>
        <item x="0"/>
        <item x="1"/>
        <item x="2"/>
        <item x="3"/>
        <item x="4"/>
        <item x="5"/>
        <item x="6"/>
        <item x="7"/>
        <item t="default"/>
      </items>
    </pivotField>
    <pivotField name="stars" compact="0" outline="0" multipleItemSelectionAllowed="1" showAll="0">
      <items>
        <item x="0"/>
        <item x="1"/>
        <item x="2"/>
        <item x="3"/>
        <item x="4"/>
        <item t="default"/>
      </items>
    </pivotField>
    <pivotField name="runs" compact="0" outline="0" multipleItemSelectionAllowed="1" showAll="0">
      <items>
        <item x="0"/>
        <item x="1"/>
        <item x="2"/>
        <item x="3"/>
        <item x="4"/>
        <item x="5"/>
        <item x="6"/>
        <item x="7"/>
        <item x="8"/>
        <item x="9"/>
        <item x="10"/>
        <item x="11"/>
        <item x="12"/>
        <item t="default"/>
      </items>
    </pivotField>
    <pivotField name="average" compact="0" outline="0" multipleItemSelectionAllowed="1" showAll="0">
      <items>
        <item x="0"/>
        <item x="1"/>
        <item x="2"/>
        <item x="3"/>
        <item x="4"/>
        <item x="5"/>
        <item x="6"/>
        <item x="7"/>
        <item x="8"/>
        <item x="9"/>
        <item x="10"/>
        <item x="11"/>
        <item x="12"/>
        <item x="13"/>
        <item t="default"/>
      </items>
    </pivotField>
    <pivotField name="strike_rate" compact="0" outline="0" multipleItemSelectionAllowed="1" showAll="0">
      <items>
        <item x="0"/>
        <item x="1"/>
        <item x="2"/>
        <item x="3"/>
        <item x="4"/>
        <item x="5"/>
        <item x="6"/>
        <item x="7"/>
        <item x="8"/>
        <item x="9"/>
        <item x="10"/>
        <item x="11"/>
        <item x="12"/>
        <item x="13"/>
        <item t="default"/>
      </items>
    </pivotField>
    <pivotField name="bdry_pct" compact="0" outline="0" multipleItemSelectionAllowed="1" showAll="0">
      <items>
        <item x="0"/>
        <item x="1"/>
        <item x="2"/>
        <item x="3"/>
        <item x="4"/>
        <item x="5"/>
        <item x="6"/>
        <item x="7"/>
        <item x="8"/>
        <item x="9"/>
        <item x="10"/>
        <item x="11"/>
        <item x="12"/>
        <item x="13"/>
        <item t="default"/>
      </items>
    </pivotField>
    <pivotField name="wickets" compact="0" outline="0" multipleItemSelectionAllowed="1" showAll="0">
      <items>
        <item x="0"/>
        <item x="1"/>
        <item x="2"/>
        <item x="3"/>
        <item x="4"/>
        <item x="5"/>
        <item x="6"/>
        <item x="7"/>
        <item x="8"/>
        <item x="9"/>
        <item x="10"/>
        <item x="11"/>
        <item t="default"/>
      </items>
    </pivotField>
    <pivotField name="economy" compact="0" outline="0" multipleItemSelectionAllowed="1" showAll="0">
      <items>
        <item x="0"/>
        <item x="1"/>
        <item x="2"/>
        <item x="3"/>
        <item x="4"/>
        <item x="5"/>
        <item x="6"/>
        <item x="7"/>
        <item x="8"/>
        <item x="9"/>
        <item x="10"/>
        <item x="11"/>
        <item x="12"/>
        <item t="default"/>
      </items>
    </pivotField>
    <pivotField name="wkt_per_match" compact="0" outline="0" multipleItemSelectionAllowed="1" showAll="0">
      <items>
        <item x="0"/>
        <item x="1"/>
        <item x="2"/>
        <item x="3"/>
        <item x="4"/>
        <item x="5"/>
        <item x="6"/>
        <item x="7"/>
        <item x="8"/>
        <item x="9"/>
        <item x="10"/>
        <item x="11"/>
        <item t="default"/>
      </items>
    </pivotField>
    <pivotField name="dot_ball_pct" compact="0" outline="0" multipleItemSelectionAllowed="1" showAll="0">
      <items>
        <item x="0"/>
        <item x="1"/>
        <item x="2"/>
        <item x="3"/>
        <item x="4"/>
        <item x="5"/>
        <item x="6"/>
        <item x="7"/>
        <item x="8"/>
        <item x="9"/>
        <item x="10"/>
        <item x="11"/>
        <item x="12"/>
        <item t="default"/>
      </items>
    </pivotField>
  </pivotFields>
  <rowFields>
    <field x="1"/>
    <field x="0"/>
  </rowFields>
  <colFields>
    <field x="-2"/>
  </colFields>
  <dataFields>
    <dataField name="AVERAGE of valueformoney(rating out of 100)" fld="6" subtotal="average" baseField="0"/>
    <dataField name="AVERAGE of rating(percentile)" fld="5" subtotal="average" baseField="0"/>
    <dataField name="AVERAGE of sold_price_cr" fld="4" subtotal="average" baseField="0"/>
    <dataField name="MIN of IPL_RANK" fld="7" subtotal="min"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layer_nam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layer_role">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layer_name">
  <x14:extLst>
    <ext uri="{2F2917AC-EB37-4324-AD4E-5DD8C200BD13}">
      <x15:tableSlicerCache tableId="2"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player_role">
  <x14:extLst>
    <ext uri="{2F2917AC-EB37-4324-AD4E-5DD8C200BD13}">
      <x15:tableSlicerCache tableId="2" column="2"/>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2" sourceName="player_role">
  <x14:extLst>
    <ext uri="{2F2917AC-EB37-4324-AD4E-5DD8C200BD13}">
      <x15:tableSlicerCache tableId="3" column="2"/>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4" sourceName="season">
  <x14:extLst>
    <ext uri="{2F2917AC-EB37-4324-AD4E-5DD8C200BD13}">
      <x15:tableSlicerCache tableId="3"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eason_1" cache="SlicerCache_Table_3_Col_4" caption="season" rowHeight="247650"/>
  <x14:slicer name="player_role_2" cache="SlicerCache_Table_3_Col_2" caption="player_rol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name_3" cache="SlicerCache_Table_1_Col_1" caption="player_name" rowHeight="247650"/>
  <x14:slicer name="player_role_4" cache="SlicerCache_Table_1_Col_2" caption="player_rol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role_5" cache="SlicerCache_Table_2_Col_2" caption="player_role" rowHeight="247650"/>
  <x14:slicer name="player_name_6" cache="SlicerCache_Table_2_Col_1" caption="player_name"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layer_role_7" cache="SlicerCache_Table_2_Col_2" caption="player_role" rowHeight="247650"/>
  <x14:slicer name="player_name_8" cache="SlicerCache_Table_2_Col_1" caption="player_name" rowHeight="247650"/>
  <x14:slicer name="player_role_9" cache="SlicerCache_Table_1_Col_2" caption="player_role" rowHeight="247650"/>
  <x14:slicer name="player_name_10" cache="SlicerCache_Table_1_Col_1" caption="player_name" rowHeight="247650"/>
</x14:slicers>
</file>

<file path=xl/tables/table1.xml><?xml version="1.0" encoding="utf-8"?>
<table xmlns="http://schemas.openxmlformats.org/spreadsheetml/2006/main" ref="A1:Q21" displayName="Table_1" name="Table_1" id="1">
  <autoFilter ref="$A$1:$Q$21"/>
  <tableColumns count="17">
    <tableColumn name="player_name" id="1"/>
    <tableColumn name="player_role" id="2"/>
    <tableColumn name="team" id="3"/>
    <tableColumn name="season" id="4"/>
    <tableColumn name="sold_price_cr" id="5"/>
    <tableColumn name="rating(percentile)" id="6"/>
    <tableColumn name="valueformoney(rating out of 100)" id="7"/>
    <tableColumn name="IPL_RANK" id="8"/>
    <tableColumn name="stars" id="9"/>
    <tableColumn name="runs" id="10"/>
    <tableColumn name="average" id="11"/>
    <tableColumn name="strike_rate" id="12"/>
    <tableColumn name="bdry_pct" id="13"/>
    <tableColumn name="wickets" id="14"/>
    <tableColumn name="economy" id="15"/>
    <tableColumn name="wkt_per_match" id="16"/>
    <tableColumn name="dot_ball_pct" id="17"/>
  </tableColumns>
  <tableStyleInfo showColumnStripes="0" showFirstColumn="0" showLastColumn="0" showRowStripes="0"/>
</table>
</file>

<file path=xl/tables/table2.xml><?xml version="1.0" encoding="utf-8"?>
<table xmlns="http://schemas.openxmlformats.org/spreadsheetml/2006/main" ref="A1:Q41" displayName="Table_3" name="Table_3" id="3">
  <autoFilter ref="$A$1:$Q$41"/>
  <tableColumns count="17">
    <tableColumn name="player_name" id="1"/>
    <tableColumn name="player_role" id="2"/>
    <tableColumn name="team" id="3"/>
    <tableColumn name="season" id="4"/>
    <tableColumn name="sold_price_cr" id="5"/>
    <tableColumn name="rating(percentile)" id="6"/>
    <tableColumn name="valueformoney(rating out of 100)" id="7"/>
    <tableColumn name="IPL_RANK" id="8"/>
    <tableColumn name="stars" id="9"/>
    <tableColumn name="runs" id="10"/>
    <tableColumn name="average" id="11"/>
    <tableColumn name="strike_rate" id="12"/>
    <tableColumn name="bdry_pct" id="13"/>
    <tableColumn name="wickets" id="14"/>
    <tableColumn name="economy" id="15"/>
    <tableColumn name="wkt_per_match" id="16"/>
    <tableColumn name="dot_ball_pct" id="17"/>
  </tableColumns>
  <tableStyleInfo showColumnStripes="0" showFirstColumn="0" showLastColumn="0" showRowStripes="0"/>
</table>
</file>

<file path=xl/tables/table3.xml><?xml version="1.0" encoding="utf-8"?>
<table xmlns="http://schemas.openxmlformats.org/spreadsheetml/2006/main" ref="A1:Q21" displayName="Table_2" name="Table_2" id="2">
  <autoFilter ref="$A$1:$Q$21"/>
  <tableColumns count="17">
    <tableColumn name="player_name" id="1"/>
    <tableColumn name="player_role" id="2"/>
    <tableColumn name="team" id="3"/>
    <tableColumn name="season" id="4"/>
    <tableColumn name="sold_price_cr" id="5"/>
    <tableColumn name="rating(percentile)" id="6"/>
    <tableColumn name="valueformoney(rating out of 100)" id="7"/>
    <tableColumn name="IPL_RANK" id="8"/>
    <tableColumn name="stars" id="9"/>
    <tableColumn name="runs" id="10"/>
    <tableColumn name="average" id="11"/>
    <tableColumn name="strike_rate" id="12"/>
    <tableColumn name="bdry_pct" id="13"/>
    <tableColumn name="wickets" id="14"/>
    <tableColumn name="economy" id="15"/>
    <tableColumn name="wkt_per_match" id="16"/>
    <tableColumn name="dot_ball_pct" id="1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 Id="rId3"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 Id="rId3" Type="http://schemas.microsoft.com/office/2007/relationships/slicer" Target="../slicers/slicer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microsoft.com/office/2007/relationships/slicer" Target="../slicers/slicer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176.88"/>
    <col customWidth="1" min="2" max="6" width="12.63"/>
  </cols>
  <sheetData>
    <row r="1" ht="60.0" customHeight="1">
      <c r="A1" s="25" t="s">
        <v>59</v>
      </c>
      <c r="B1" s="26"/>
      <c r="C1" s="26"/>
      <c r="D1" s="26"/>
      <c r="E1" s="26"/>
      <c r="F1" s="26"/>
      <c r="G1" s="26"/>
      <c r="H1" s="26"/>
      <c r="I1" s="26"/>
      <c r="J1" s="26"/>
      <c r="K1" s="26"/>
      <c r="L1" s="26"/>
      <c r="M1" s="26"/>
      <c r="N1" s="26"/>
      <c r="O1" s="26"/>
      <c r="P1" s="26"/>
      <c r="Q1" s="26"/>
      <c r="R1" s="26"/>
      <c r="S1" s="26"/>
      <c r="T1" s="26"/>
      <c r="U1" s="26"/>
      <c r="V1" s="26"/>
      <c r="W1" s="26"/>
      <c r="X1" s="26"/>
      <c r="Y1" s="26"/>
      <c r="Z1" s="26"/>
    </row>
    <row r="2" ht="15.75" customHeight="1">
      <c r="A2" s="27"/>
      <c r="B2" s="26"/>
      <c r="C2" s="26"/>
      <c r="D2" s="26"/>
      <c r="E2" s="26"/>
      <c r="F2" s="26"/>
      <c r="G2" s="26"/>
      <c r="H2" s="26"/>
      <c r="I2" s="26"/>
      <c r="J2" s="26"/>
      <c r="K2" s="26"/>
      <c r="L2" s="26"/>
      <c r="M2" s="26"/>
      <c r="N2" s="26"/>
      <c r="O2" s="26"/>
      <c r="P2" s="26"/>
      <c r="Q2" s="26"/>
      <c r="R2" s="26"/>
      <c r="S2" s="26"/>
      <c r="T2" s="26"/>
      <c r="U2" s="26"/>
      <c r="V2" s="26"/>
      <c r="W2" s="26"/>
      <c r="X2" s="26"/>
      <c r="Y2" s="26"/>
      <c r="Z2" s="26"/>
    </row>
    <row r="3" ht="15.75" customHeight="1">
      <c r="A3" s="27"/>
      <c r="B3" s="26"/>
      <c r="C3" s="26"/>
      <c r="D3" s="26"/>
      <c r="E3" s="26"/>
      <c r="F3" s="26"/>
      <c r="G3" s="26"/>
      <c r="H3" s="26"/>
      <c r="I3" s="26"/>
      <c r="J3" s="26"/>
      <c r="K3" s="26"/>
      <c r="L3" s="26"/>
      <c r="M3" s="26"/>
      <c r="N3" s="26"/>
      <c r="O3" s="26"/>
      <c r="P3" s="26"/>
      <c r="Q3" s="26"/>
      <c r="R3" s="26"/>
      <c r="S3" s="26"/>
      <c r="T3" s="26"/>
      <c r="U3" s="26"/>
      <c r="V3" s="26"/>
      <c r="W3" s="26"/>
      <c r="X3" s="26"/>
      <c r="Y3" s="26"/>
      <c r="Z3" s="26"/>
    </row>
    <row r="4" ht="15.75" customHeight="1">
      <c r="A4" s="27"/>
      <c r="B4" s="26"/>
      <c r="C4" s="26"/>
      <c r="D4" s="26"/>
      <c r="E4" s="26"/>
      <c r="F4" s="26"/>
      <c r="G4" s="26"/>
      <c r="H4" s="26"/>
      <c r="I4" s="26"/>
      <c r="J4" s="26"/>
      <c r="K4" s="26"/>
      <c r="L4" s="26"/>
      <c r="M4" s="26"/>
      <c r="N4" s="26"/>
      <c r="O4" s="26"/>
      <c r="P4" s="26"/>
      <c r="Q4" s="26"/>
      <c r="R4" s="26"/>
      <c r="S4" s="26"/>
      <c r="T4" s="26"/>
      <c r="U4" s="26"/>
      <c r="V4" s="26"/>
      <c r="W4" s="26"/>
      <c r="X4" s="26"/>
      <c r="Y4" s="26"/>
      <c r="Z4" s="26"/>
    </row>
    <row r="5" ht="15.75" customHeight="1">
      <c r="A5" s="27"/>
      <c r="B5" s="26"/>
      <c r="C5" s="26"/>
      <c r="D5" s="26"/>
      <c r="E5" s="26"/>
      <c r="F5" s="26"/>
      <c r="G5" s="26"/>
      <c r="H5" s="26"/>
      <c r="I5" s="26"/>
      <c r="J5" s="26"/>
      <c r="K5" s="26"/>
      <c r="L5" s="26"/>
      <c r="M5" s="26"/>
      <c r="N5" s="26"/>
      <c r="O5" s="26"/>
      <c r="P5" s="26"/>
      <c r="Q5" s="26"/>
      <c r="R5" s="26"/>
      <c r="S5" s="26"/>
      <c r="T5" s="26"/>
      <c r="U5" s="26"/>
      <c r="V5" s="26"/>
      <c r="W5" s="26"/>
      <c r="X5" s="26"/>
      <c r="Y5" s="26"/>
      <c r="Z5" s="26"/>
    </row>
    <row r="6" ht="15.75" customHeight="1">
      <c r="A6" s="27"/>
      <c r="B6" s="26"/>
      <c r="C6" s="26"/>
      <c r="D6" s="26"/>
      <c r="E6" s="26"/>
      <c r="F6" s="26"/>
      <c r="G6" s="26"/>
      <c r="H6" s="26"/>
      <c r="I6" s="26"/>
      <c r="J6" s="26"/>
      <c r="K6" s="26"/>
      <c r="L6" s="26"/>
      <c r="M6" s="26"/>
      <c r="N6" s="26"/>
      <c r="O6" s="26"/>
      <c r="P6" s="26"/>
      <c r="Q6" s="26"/>
      <c r="R6" s="26"/>
      <c r="S6" s="26"/>
      <c r="T6" s="26"/>
      <c r="U6" s="26"/>
      <c r="V6" s="26"/>
      <c r="W6" s="26"/>
      <c r="X6" s="26"/>
      <c r="Y6" s="26"/>
      <c r="Z6" s="26"/>
    </row>
    <row r="7" ht="15.75" customHeight="1">
      <c r="A7" s="27"/>
      <c r="B7" s="26"/>
      <c r="C7" s="26"/>
      <c r="D7" s="26"/>
      <c r="E7" s="26"/>
      <c r="F7" s="26"/>
      <c r="G7" s="26"/>
      <c r="H7" s="26"/>
      <c r="I7" s="26"/>
      <c r="J7" s="26"/>
      <c r="K7" s="26"/>
      <c r="L7" s="26"/>
      <c r="M7" s="26"/>
      <c r="N7" s="26"/>
      <c r="O7" s="26"/>
      <c r="P7" s="26"/>
      <c r="Q7" s="26"/>
      <c r="R7" s="26"/>
      <c r="S7" s="26"/>
      <c r="T7" s="26"/>
      <c r="U7" s="26"/>
      <c r="V7" s="26"/>
      <c r="W7" s="26"/>
      <c r="X7" s="26"/>
      <c r="Y7" s="26"/>
      <c r="Z7" s="26"/>
    </row>
    <row r="8" ht="15.75" customHeight="1">
      <c r="A8" s="27"/>
      <c r="B8" s="26"/>
      <c r="C8" s="26"/>
      <c r="D8" s="26"/>
      <c r="E8" s="26"/>
      <c r="F8" s="26"/>
      <c r="G8" s="26"/>
      <c r="H8" s="26"/>
      <c r="I8" s="26"/>
      <c r="J8" s="26"/>
      <c r="K8" s="26"/>
      <c r="L8" s="26"/>
      <c r="M8" s="26"/>
      <c r="N8" s="26"/>
      <c r="O8" s="26"/>
      <c r="P8" s="26"/>
      <c r="Q8" s="26"/>
      <c r="R8" s="26"/>
      <c r="S8" s="26"/>
      <c r="T8" s="26"/>
      <c r="U8" s="26"/>
      <c r="V8" s="26"/>
      <c r="W8" s="26"/>
      <c r="X8" s="26"/>
      <c r="Y8" s="26"/>
      <c r="Z8" s="26"/>
    </row>
    <row r="9" ht="15.75" customHeight="1">
      <c r="A9" s="27"/>
      <c r="B9" s="26"/>
      <c r="C9" s="26"/>
      <c r="D9" s="26"/>
      <c r="E9" s="26"/>
      <c r="F9" s="26"/>
      <c r="G9" s="26"/>
      <c r="H9" s="26"/>
      <c r="I9" s="26"/>
      <c r="J9" s="26"/>
      <c r="K9" s="26"/>
      <c r="L9" s="26"/>
      <c r="M9" s="26"/>
      <c r="N9" s="26"/>
      <c r="O9" s="26"/>
      <c r="P9" s="26"/>
      <c r="Q9" s="26"/>
      <c r="R9" s="26"/>
      <c r="S9" s="26"/>
      <c r="T9" s="26"/>
      <c r="U9" s="26"/>
      <c r="V9" s="26"/>
      <c r="W9" s="26"/>
      <c r="X9" s="26"/>
      <c r="Y9" s="26"/>
      <c r="Z9" s="26"/>
    </row>
    <row r="10" ht="15.75" customHeight="1">
      <c r="A10" s="27"/>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ht="15.75" customHeight="1">
      <c r="A11" s="27"/>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ht="15.75" customHeight="1">
      <c r="A12" s="27"/>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5.75" customHeight="1">
      <c r="A13" s="27"/>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5.75" customHeight="1">
      <c r="A14" s="27"/>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5.75" customHeight="1">
      <c r="A15" s="27"/>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5.75" customHeight="1">
      <c r="A16" s="27"/>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5.75" customHeight="1">
      <c r="A17" s="27"/>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5.75" customHeight="1">
      <c r="A18" s="27"/>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5.75" customHeight="1">
      <c r="A19" s="27"/>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5.75" customHeight="1">
      <c r="A20" s="27"/>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5.75" customHeight="1">
      <c r="A21" s="27"/>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5.75" customHeight="1">
      <c r="A22" s="27"/>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42.0" customHeight="1">
      <c r="A23" s="28" t="s">
        <v>60</v>
      </c>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5.75" customHeight="1">
      <c r="A24" s="27"/>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5.75" customHeight="1">
      <c r="A25" s="27"/>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27"/>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5.75" customHeight="1">
      <c r="A27" s="27"/>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27"/>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5.75" customHeight="1">
      <c r="A29" s="27"/>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27"/>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5.75" customHeight="1">
      <c r="A31" s="27"/>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5.75" customHeight="1">
      <c r="A32" s="27"/>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27"/>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27"/>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27"/>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27"/>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27"/>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6"/>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6"/>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6"/>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6"/>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6"/>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6"/>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6"/>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6"/>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6"/>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6"/>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6"/>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6"/>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6"/>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6"/>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6"/>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6"/>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6"/>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6"/>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6"/>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6"/>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6"/>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6"/>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6"/>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6"/>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6"/>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6"/>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6"/>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6"/>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6"/>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6"/>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6"/>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6"/>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6"/>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6"/>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6"/>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6"/>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6"/>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6"/>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6"/>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6"/>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6"/>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6"/>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6"/>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6"/>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6"/>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6"/>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6"/>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6"/>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6"/>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6"/>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6"/>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6"/>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6"/>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6"/>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6"/>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6"/>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6"/>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6"/>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6"/>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6"/>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6"/>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6"/>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6"/>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6"/>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6"/>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6"/>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6"/>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6"/>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6"/>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6"/>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6"/>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6"/>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6"/>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6"/>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6"/>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6"/>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6"/>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6"/>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6"/>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6"/>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6"/>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6"/>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6"/>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6"/>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6"/>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6"/>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6"/>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6"/>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6"/>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6"/>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6"/>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6"/>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6"/>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6"/>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6"/>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6"/>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6"/>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6"/>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6"/>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6"/>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6"/>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6"/>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6"/>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6"/>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6"/>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6"/>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6"/>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6"/>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6"/>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6"/>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6"/>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6"/>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6"/>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6"/>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6"/>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6"/>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6"/>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6"/>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6"/>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6"/>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6"/>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6"/>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6"/>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6"/>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6"/>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6"/>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6"/>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6"/>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6"/>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6"/>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6"/>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6"/>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6"/>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6"/>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6"/>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6"/>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6"/>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6"/>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6"/>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6"/>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6"/>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6"/>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6"/>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6"/>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6"/>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6"/>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6"/>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6"/>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6"/>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6"/>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6"/>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6"/>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6"/>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6"/>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6"/>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6"/>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6"/>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6"/>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6"/>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6"/>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6"/>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6"/>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6"/>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9"/>
    </row>
    <row r="225" ht="15.75" customHeight="1">
      <c r="A225" s="29"/>
    </row>
    <row r="226" ht="15.75" customHeight="1">
      <c r="A226" s="29"/>
    </row>
    <row r="227" ht="15.75" customHeight="1">
      <c r="A227" s="29"/>
    </row>
    <row r="228" ht="15.75" customHeight="1">
      <c r="A228" s="29"/>
    </row>
    <row r="229" ht="15.75" customHeight="1">
      <c r="A229" s="29"/>
    </row>
    <row r="230" ht="15.75" customHeight="1">
      <c r="A230" s="29"/>
    </row>
    <row r="231" ht="15.75" customHeight="1">
      <c r="A231" s="29"/>
    </row>
    <row r="232" ht="15.75" customHeight="1">
      <c r="A232" s="29"/>
    </row>
    <row r="233" ht="15.75" customHeight="1">
      <c r="A233" s="29"/>
    </row>
    <row r="234" ht="15.75" customHeight="1">
      <c r="A234" s="29"/>
    </row>
    <row r="235" ht="15.75" customHeight="1">
      <c r="A235" s="29"/>
    </row>
    <row r="236" ht="15.75" customHeight="1">
      <c r="A236" s="29"/>
    </row>
    <row r="237" ht="15.75" customHeight="1">
      <c r="A237" s="29"/>
    </row>
    <row r="238" ht="15.75" customHeight="1">
      <c r="A238" s="29"/>
    </row>
    <row r="239" ht="15.75" customHeight="1">
      <c r="A239" s="29"/>
    </row>
    <row r="240" ht="15.75" customHeight="1">
      <c r="A240" s="29"/>
    </row>
    <row r="241" ht="15.75" customHeight="1">
      <c r="A241" s="29"/>
    </row>
    <row r="242" ht="15.75" customHeight="1">
      <c r="A242" s="29"/>
    </row>
    <row r="243" ht="15.75" customHeight="1">
      <c r="A243" s="29"/>
    </row>
    <row r="244" ht="15.75" customHeight="1">
      <c r="A244" s="29"/>
    </row>
    <row r="245" ht="15.75" customHeight="1">
      <c r="A245" s="29"/>
    </row>
    <row r="246" ht="15.75" customHeight="1">
      <c r="A246" s="29"/>
    </row>
    <row r="247" ht="15.75" customHeight="1">
      <c r="A247" s="29"/>
    </row>
    <row r="248" ht="15.75" customHeight="1">
      <c r="A248" s="29"/>
    </row>
    <row r="249" ht="15.75" customHeight="1">
      <c r="A249" s="29"/>
    </row>
    <row r="250" ht="15.75" customHeight="1">
      <c r="A250" s="29"/>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row>
    <row r="2" ht="15.75" customHeight="1">
      <c r="A2" s="1" t="s">
        <v>9</v>
      </c>
      <c r="B2" s="1" t="s">
        <v>10</v>
      </c>
      <c r="C2" s="1" t="s">
        <v>11</v>
      </c>
      <c r="D2" s="1">
        <v>2022.0</v>
      </c>
      <c r="E2" s="1">
        <v>1.5</v>
      </c>
      <c r="F2" s="1">
        <v>100.0</v>
      </c>
      <c r="G2" s="1">
        <v>1.0</v>
      </c>
      <c r="H2" s="1">
        <v>66.67</v>
      </c>
      <c r="I2" s="1" t="s">
        <v>12</v>
      </c>
    </row>
    <row r="3" ht="15.75" customHeight="1">
      <c r="A3" s="1" t="s">
        <v>13</v>
      </c>
      <c r="B3" s="1" t="s">
        <v>10</v>
      </c>
      <c r="C3" s="1" t="s">
        <v>14</v>
      </c>
      <c r="D3" s="1">
        <v>2022.0</v>
      </c>
      <c r="E3" s="1">
        <v>1.2</v>
      </c>
      <c r="F3" s="1">
        <v>62.0</v>
      </c>
      <c r="G3" s="1">
        <v>3.0</v>
      </c>
      <c r="H3" s="1">
        <v>51.67</v>
      </c>
      <c r="I3" s="1" t="s">
        <v>12</v>
      </c>
    </row>
    <row r="4" ht="15.75" customHeight="1">
      <c r="A4" s="1" t="s">
        <v>15</v>
      </c>
      <c r="B4" s="1" t="s">
        <v>10</v>
      </c>
      <c r="C4" s="1" t="s">
        <v>16</v>
      </c>
      <c r="D4" s="1">
        <v>2022.0</v>
      </c>
      <c r="E4" s="1">
        <v>1.8</v>
      </c>
      <c r="F4" s="1">
        <v>66.0</v>
      </c>
      <c r="G4" s="1">
        <v>2.0</v>
      </c>
      <c r="H4" s="1">
        <v>36.67</v>
      </c>
      <c r="I4" s="1" t="s">
        <v>12</v>
      </c>
    </row>
    <row r="5" ht="15.75" customHeight="1">
      <c r="A5" s="1" t="s">
        <v>17</v>
      </c>
      <c r="B5" s="1" t="s">
        <v>18</v>
      </c>
      <c r="C5" s="1" t="s">
        <v>14</v>
      </c>
      <c r="D5" s="1">
        <v>2022.0</v>
      </c>
      <c r="E5" s="1">
        <v>2.0</v>
      </c>
      <c r="F5" s="1">
        <v>32.9</v>
      </c>
      <c r="G5" s="1">
        <v>6.0</v>
      </c>
      <c r="H5" s="1">
        <v>16.45</v>
      </c>
      <c r="I5" s="1" t="s">
        <v>12</v>
      </c>
    </row>
    <row r="6" ht="15.75" customHeight="1">
      <c r="A6" s="1" t="s">
        <v>19</v>
      </c>
      <c r="B6" s="1" t="s">
        <v>18</v>
      </c>
      <c r="C6" s="1" t="s">
        <v>20</v>
      </c>
      <c r="D6" s="1">
        <v>2022.0</v>
      </c>
      <c r="E6" s="1">
        <v>3.5</v>
      </c>
      <c r="F6" s="1">
        <v>57.1</v>
      </c>
      <c r="G6" s="1">
        <v>4.0</v>
      </c>
      <c r="H6" s="1">
        <v>16.31</v>
      </c>
      <c r="I6" s="1" t="s">
        <v>12</v>
      </c>
    </row>
    <row r="7" ht="15.75" customHeight="1">
      <c r="A7" s="1" t="s">
        <v>21</v>
      </c>
      <c r="B7" s="1" t="s">
        <v>18</v>
      </c>
      <c r="C7" s="1" t="s">
        <v>22</v>
      </c>
      <c r="D7" s="1">
        <v>2022.0</v>
      </c>
      <c r="E7" s="1">
        <v>6.5</v>
      </c>
      <c r="F7" s="1">
        <v>100.0</v>
      </c>
      <c r="G7" s="1">
        <v>1.0</v>
      </c>
      <c r="H7" s="1">
        <v>15.38</v>
      </c>
      <c r="I7" s="1" t="s">
        <v>12</v>
      </c>
    </row>
    <row r="8" ht="15.75" customHeight="1">
      <c r="A8" s="1" t="s">
        <v>23</v>
      </c>
      <c r="B8" s="1" t="s">
        <v>18</v>
      </c>
      <c r="C8" s="1" t="s">
        <v>24</v>
      </c>
      <c r="D8" s="1">
        <v>2022.0</v>
      </c>
      <c r="E8" s="1">
        <v>7.0</v>
      </c>
      <c r="F8" s="1">
        <v>82.9</v>
      </c>
      <c r="G8" s="1">
        <v>2.0</v>
      </c>
      <c r="H8" s="1">
        <v>11.84</v>
      </c>
      <c r="I8" s="1" t="s">
        <v>12</v>
      </c>
    </row>
    <row r="9" ht="15.75" customHeight="1">
      <c r="A9" s="1" t="s">
        <v>25</v>
      </c>
      <c r="B9" s="1" t="s">
        <v>26</v>
      </c>
      <c r="C9" s="1" t="s">
        <v>22</v>
      </c>
      <c r="D9" s="1">
        <v>2022.0</v>
      </c>
      <c r="E9" s="1">
        <v>10.0</v>
      </c>
      <c r="F9" s="1">
        <v>64.0</v>
      </c>
      <c r="G9" s="1">
        <v>2.0</v>
      </c>
      <c r="H9" s="1">
        <v>6.4</v>
      </c>
      <c r="I9" s="1" t="s">
        <v>27</v>
      </c>
    </row>
    <row r="10" ht="15.75" customHeight="1">
      <c r="A10" s="1" t="s">
        <v>28</v>
      </c>
      <c r="B10" s="1" t="s">
        <v>18</v>
      </c>
      <c r="C10" s="1" t="s">
        <v>11</v>
      </c>
      <c r="D10" s="1">
        <v>2022.0</v>
      </c>
      <c r="E10" s="1">
        <v>5.5</v>
      </c>
      <c r="F10" s="1">
        <v>34.3</v>
      </c>
      <c r="G10" s="1">
        <v>5.0</v>
      </c>
      <c r="H10" s="1">
        <v>6.24</v>
      </c>
      <c r="I10" s="1" t="s">
        <v>27</v>
      </c>
    </row>
    <row r="11" ht="15.75" customHeight="1">
      <c r="A11" s="1" t="s">
        <v>29</v>
      </c>
      <c r="B11" s="1" t="s">
        <v>10</v>
      </c>
      <c r="C11" s="1" t="s">
        <v>20</v>
      </c>
      <c r="D11" s="1">
        <v>2022.0</v>
      </c>
      <c r="E11" s="1">
        <v>1.0</v>
      </c>
      <c r="F11" s="1">
        <v>6.0</v>
      </c>
      <c r="G11" s="1">
        <v>6.0</v>
      </c>
      <c r="H11" s="1">
        <v>6.0</v>
      </c>
      <c r="I11" s="1" t="s">
        <v>27</v>
      </c>
    </row>
    <row r="12" ht="15.75" customHeight="1">
      <c r="A12" s="1" t="s">
        <v>30</v>
      </c>
      <c r="B12" s="1" t="s">
        <v>10</v>
      </c>
      <c r="C12" s="1" t="s">
        <v>31</v>
      </c>
      <c r="D12" s="1">
        <v>2022.0</v>
      </c>
      <c r="E12" s="1">
        <v>9.0</v>
      </c>
      <c r="F12" s="1">
        <v>52.0</v>
      </c>
      <c r="G12" s="1">
        <v>4.0</v>
      </c>
      <c r="H12" s="1">
        <v>5.78</v>
      </c>
      <c r="I12" s="1" t="s">
        <v>32</v>
      </c>
    </row>
    <row r="13" ht="15.75" customHeight="1">
      <c r="A13" s="1" t="s">
        <v>33</v>
      </c>
      <c r="B13" s="1" t="s">
        <v>18</v>
      </c>
      <c r="C13" s="1" t="s">
        <v>20</v>
      </c>
      <c r="D13" s="1">
        <v>2022.0</v>
      </c>
      <c r="E13" s="1">
        <v>14.0</v>
      </c>
      <c r="F13" s="1">
        <v>74.3</v>
      </c>
      <c r="G13" s="1">
        <v>3.0</v>
      </c>
      <c r="H13" s="1">
        <v>5.31</v>
      </c>
      <c r="I13" s="1" t="s">
        <v>32</v>
      </c>
    </row>
    <row r="14" ht="15.75" customHeight="1">
      <c r="A14" s="1" t="s">
        <v>34</v>
      </c>
      <c r="B14" s="1" t="s">
        <v>26</v>
      </c>
      <c r="C14" s="1" t="s">
        <v>16</v>
      </c>
      <c r="D14" s="1">
        <v>2022.0</v>
      </c>
      <c r="E14" s="1">
        <v>15.25</v>
      </c>
      <c r="F14" s="1">
        <v>75.0</v>
      </c>
      <c r="G14" s="1">
        <v>1.0</v>
      </c>
      <c r="H14" s="1">
        <v>4.92</v>
      </c>
      <c r="I14" s="1" t="s">
        <v>32</v>
      </c>
    </row>
    <row r="15" ht="15.75" customHeight="1">
      <c r="A15" s="1" t="s">
        <v>35</v>
      </c>
      <c r="B15" s="1" t="s">
        <v>18</v>
      </c>
      <c r="C15" s="1" t="s">
        <v>22</v>
      </c>
      <c r="D15" s="1">
        <v>2022.0</v>
      </c>
      <c r="E15" s="1">
        <v>3.0</v>
      </c>
      <c r="F15" s="1">
        <v>14.3</v>
      </c>
      <c r="G15" s="1">
        <v>7.0</v>
      </c>
      <c r="H15" s="1">
        <v>4.77</v>
      </c>
      <c r="I15" s="1" t="s">
        <v>32</v>
      </c>
    </row>
    <row r="16" ht="15.75" customHeight="1">
      <c r="A16" s="1" t="s">
        <v>36</v>
      </c>
      <c r="B16" s="1" t="s">
        <v>26</v>
      </c>
      <c r="C16" s="1" t="s">
        <v>24</v>
      </c>
      <c r="D16" s="1">
        <v>2022.0</v>
      </c>
      <c r="E16" s="1">
        <v>11.0</v>
      </c>
      <c r="F16" s="1">
        <v>49.0</v>
      </c>
      <c r="G16" s="1">
        <v>3.0</v>
      </c>
      <c r="H16" s="1">
        <v>4.45</v>
      </c>
      <c r="I16" s="1" t="s">
        <v>32</v>
      </c>
    </row>
    <row r="17" ht="15.75" customHeight="1">
      <c r="A17" s="1" t="s">
        <v>37</v>
      </c>
      <c r="B17" s="1" t="s">
        <v>26</v>
      </c>
      <c r="C17" s="1" t="s">
        <v>31</v>
      </c>
      <c r="D17" s="1">
        <v>2022.0</v>
      </c>
      <c r="E17" s="1">
        <v>8.5</v>
      </c>
      <c r="F17" s="1">
        <v>34.0</v>
      </c>
      <c r="G17" s="1">
        <v>4.0</v>
      </c>
      <c r="H17" s="1">
        <v>4.0</v>
      </c>
      <c r="I17" s="1" t="s">
        <v>32</v>
      </c>
    </row>
    <row r="18" ht="15.75" customHeight="1">
      <c r="A18" s="1" t="s">
        <v>38</v>
      </c>
      <c r="B18" s="1" t="s">
        <v>26</v>
      </c>
      <c r="C18" s="1" t="s">
        <v>20</v>
      </c>
      <c r="D18" s="1">
        <v>2022.0</v>
      </c>
      <c r="E18" s="1">
        <v>8.0</v>
      </c>
      <c r="F18" s="1">
        <v>29.0</v>
      </c>
      <c r="G18" s="1">
        <v>5.0</v>
      </c>
      <c r="H18" s="1">
        <v>3.62</v>
      </c>
      <c r="I18" s="1" t="s">
        <v>39</v>
      </c>
    </row>
    <row r="19" ht="15.75" customHeight="1">
      <c r="A19" s="1" t="s">
        <v>40</v>
      </c>
      <c r="B19" s="1" t="s">
        <v>10</v>
      </c>
      <c r="C19" s="1" t="s">
        <v>31</v>
      </c>
      <c r="D19" s="1">
        <v>2022.0</v>
      </c>
      <c r="E19" s="1">
        <v>4.5</v>
      </c>
      <c r="F19" s="1">
        <v>14.0</v>
      </c>
      <c r="G19" s="1">
        <v>5.0</v>
      </c>
      <c r="H19" s="1">
        <v>3.11</v>
      </c>
      <c r="I19" s="1" t="s">
        <v>39</v>
      </c>
    </row>
    <row r="20" ht="15.75" customHeight="1">
      <c r="A20" s="1" t="s">
        <v>41</v>
      </c>
      <c r="B20" s="1" t="s">
        <v>26</v>
      </c>
      <c r="C20" s="1" t="s">
        <v>14</v>
      </c>
      <c r="D20" s="1">
        <v>2022.0</v>
      </c>
      <c r="E20" s="1">
        <v>9.0</v>
      </c>
      <c r="F20" s="1">
        <v>15.0</v>
      </c>
      <c r="G20" s="1">
        <v>6.0</v>
      </c>
      <c r="H20" s="1">
        <v>1.67</v>
      </c>
      <c r="I20" s="1" t="s">
        <v>42</v>
      </c>
    </row>
    <row r="21" ht="15.75" customHeight="1">
      <c r="A21" s="1" t="s">
        <v>43</v>
      </c>
      <c r="B21" s="1" t="s">
        <v>18</v>
      </c>
      <c r="C21" s="1" t="s">
        <v>16</v>
      </c>
      <c r="D21" s="1">
        <v>2022.0</v>
      </c>
      <c r="E21" s="1">
        <v>2.5</v>
      </c>
      <c r="F21" s="1">
        <v>0.0</v>
      </c>
      <c r="G21" s="1">
        <v>8.0</v>
      </c>
      <c r="H21" s="1">
        <v>0.0</v>
      </c>
      <c r="I21" s="1" t="s">
        <v>42</v>
      </c>
    </row>
    <row r="22" ht="15.75" hidden="1" customHeight="1">
      <c r="A22" s="1" t="s">
        <v>9</v>
      </c>
      <c r="B22" s="1" t="s">
        <v>10</v>
      </c>
      <c r="C22" s="1" t="s">
        <v>11</v>
      </c>
      <c r="D22" s="1">
        <v>2023.0</v>
      </c>
      <c r="E22" s="1">
        <v>1.8</v>
      </c>
      <c r="F22" s="1">
        <v>100.0</v>
      </c>
      <c r="G22" s="1">
        <v>1.0</v>
      </c>
      <c r="H22" s="1">
        <v>55.56</v>
      </c>
      <c r="I22" s="1" t="s">
        <v>12</v>
      </c>
    </row>
    <row r="23" ht="15.75" hidden="1" customHeight="1">
      <c r="A23" s="1" t="s">
        <v>13</v>
      </c>
      <c r="B23" s="1" t="s">
        <v>10</v>
      </c>
      <c r="C23" s="1" t="s">
        <v>14</v>
      </c>
      <c r="D23" s="1">
        <v>2023.0</v>
      </c>
      <c r="E23" s="1">
        <v>2.0</v>
      </c>
      <c r="F23" s="1">
        <v>68.0</v>
      </c>
      <c r="G23" s="1">
        <v>2.0</v>
      </c>
      <c r="H23" s="1">
        <v>34.0</v>
      </c>
      <c r="I23" s="1" t="s">
        <v>12</v>
      </c>
    </row>
    <row r="24" ht="15.75" hidden="1" customHeight="1">
      <c r="A24" s="1" t="s">
        <v>15</v>
      </c>
      <c r="B24" s="1" t="s">
        <v>10</v>
      </c>
      <c r="C24" s="1" t="s">
        <v>16</v>
      </c>
      <c r="D24" s="1">
        <v>2023.0</v>
      </c>
      <c r="E24" s="1">
        <v>2.5</v>
      </c>
      <c r="F24" s="1">
        <v>60.0</v>
      </c>
      <c r="G24" s="1">
        <v>3.0</v>
      </c>
      <c r="H24" s="1">
        <v>24.0</v>
      </c>
      <c r="I24" s="1" t="s">
        <v>12</v>
      </c>
    </row>
    <row r="25" ht="15.75" hidden="1" customHeight="1">
      <c r="A25" s="1" t="s">
        <v>19</v>
      </c>
      <c r="B25" s="1" t="s">
        <v>18</v>
      </c>
      <c r="C25" s="1" t="s">
        <v>20</v>
      </c>
      <c r="D25" s="1">
        <v>2023.0</v>
      </c>
      <c r="E25" s="1">
        <v>4.0</v>
      </c>
      <c r="F25" s="1">
        <v>50.0</v>
      </c>
      <c r="G25" s="1">
        <v>4.0</v>
      </c>
      <c r="H25" s="1">
        <v>12.5</v>
      </c>
      <c r="I25" s="1" t="s">
        <v>12</v>
      </c>
    </row>
    <row r="26" ht="15.75" hidden="1" customHeight="1">
      <c r="A26" s="1" t="s">
        <v>21</v>
      </c>
      <c r="B26" s="1" t="s">
        <v>18</v>
      </c>
      <c r="C26" s="1" t="s">
        <v>22</v>
      </c>
      <c r="D26" s="1">
        <v>2023.0</v>
      </c>
      <c r="E26" s="1">
        <v>9.0</v>
      </c>
      <c r="F26" s="1">
        <v>100.0</v>
      </c>
      <c r="G26" s="1">
        <v>1.0</v>
      </c>
      <c r="H26" s="1">
        <v>11.11</v>
      </c>
      <c r="I26" s="1" t="s">
        <v>12</v>
      </c>
    </row>
    <row r="27" ht="15.75" hidden="1" customHeight="1">
      <c r="A27" s="1" t="s">
        <v>23</v>
      </c>
      <c r="B27" s="1" t="s">
        <v>18</v>
      </c>
      <c r="C27" s="1" t="s">
        <v>24</v>
      </c>
      <c r="D27" s="1">
        <v>2023.0</v>
      </c>
      <c r="E27" s="1">
        <v>8.0</v>
      </c>
      <c r="F27" s="1">
        <v>82.9</v>
      </c>
      <c r="G27" s="1">
        <v>2.0</v>
      </c>
      <c r="H27" s="1">
        <v>10.36</v>
      </c>
      <c r="I27" s="1" t="s">
        <v>12</v>
      </c>
    </row>
    <row r="28" ht="15.75" hidden="1" customHeight="1">
      <c r="A28" s="1" t="s">
        <v>17</v>
      </c>
      <c r="B28" s="1" t="s">
        <v>18</v>
      </c>
      <c r="C28" s="1" t="s">
        <v>14</v>
      </c>
      <c r="D28" s="1">
        <v>2023.0</v>
      </c>
      <c r="E28" s="1">
        <v>3.5</v>
      </c>
      <c r="F28" s="1">
        <v>28.6</v>
      </c>
      <c r="G28" s="1">
        <v>6.0</v>
      </c>
      <c r="H28" s="1">
        <v>8.17</v>
      </c>
      <c r="I28" s="1" t="s">
        <v>12</v>
      </c>
    </row>
    <row r="29" ht="15.75" hidden="1" customHeight="1">
      <c r="A29" s="1" t="s">
        <v>28</v>
      </c>
      <c r="B29" s="1" t="s">
        <v>18</v>
      </c>
      <c r="C29" s="1" t="s">
        <v>11</v>
      </c>
      <c r="D29" s="1">
        <v>2023.0</v>
      </c>
      <c r="E29" s="1">
        <v>6.0</v>
      </c>
      <c r="F29" s="1">
        <v>41.4</v>
      </c>
      <c r="G29" s="1">
        <v>5.0</v>
      </c>
      <c r="H29" s="1">
        <v>6.9</v>
      </c>
      <c r="I29" s="1" t="s">
        <v>27</v>
      </c>
    </row>
    <row r="30" ht="15.75" hidden="1" customHeight="1">
      <c r="A30" s="1" t="s">
        <v>35</v>
      </c>
      <c r="B30" s="1" t="s">
        <v>18</v>
      </c>
      <c r="C30" s="1" t="s">
        <v>22</v>
      </c>
      <c r="D30" s="1">
        <v>2023.0</v>
      </c>
      <c r="E30" s="1">
        <v>3.5</v>
      </c>
      <c r="F30" s="1">
        <v>22.9</v>
      </c>
      <c r="G30" s="1">
        <v>7.0</v>
      </c>
      <c r="H30" s="1">
        <v>6.54</v>
      </c>
      <c r="I30" s="1" t="s">
        <v>27</v>
      </c>
    </row>
    <row r="31" ht="15.75" hidden="1" customHeight="1">
      <c r="A31" s="1" t="s">
        <v>30</v>
      </c>
      <c r="B31" s="1" t="s">
        <v>10</v>
      </c>
      <c r="C31" s="1" t="s">
        <v>31</v>
      </c>
      <c r="D31" s="1">
        <v>2023.0</v>
      </c>
      <c r="E31" s="1">
        <v>7.5</v>
      </c>
      <c r="F31" s="1">
        <v>44.0</v>
      </c>
      <c r="G31" s="1">
        <v>4.0</v>
      </c>
      <c r="H31" s="1">
        <v>5.87</v>
      </c>
      <c r="I31" s="1" t="s">
        <v>32</v>
      </c>
    </row>
    <row r="32" ht="15.75" hidden="1" customHeight="1">
      <c r="A32" s="1" t="s">
        <v>29</v>
      </c>
      <c r="B32" s="1" t="s">
        <v>10</v>
      </c>
      <c r="C32" s="1" t="s">
        <v>20</v>
      </c>
      <c r="D32" s="1">
        <v>2023.0</v>
      </c>
      <c r="E32" s="1">
        <v>1.2</v>
      </c>
      <c r="F32" s="1">
        <v>6.0</v>
      </c>
      <c r="G32" s="1">
        <v>6.0</v>
      </c>
      <c r="H32" s="1">
        <v>5.0</v>
      </c>
      <c r="I32" s="1" t="s">
        <v>32</v>
      </c>
    </row>
    <row r="33" ht="15.75" hidden="1" customHeight="1">
      <c r="A33" s="1" t="s">
        <v>25</v>
      </c>
      <c r="B33" s="1" t="s">
        <v>26</v>
      </c>
      <c r="C33" s="1" t="s">
        <v>22</v>
      </c>
      <c r="D33" s="1">
        <v>2023.0</v>
      </c>
      <c r="E33" s="1">
        <v>12.0</v>
      </c>
      <c r="F33" s="1">
        <v>60.0</v>
      </c>
      <c r="G33" s="1">
        <v>3.0</v>
      </c>
      <c r="H33" s="1">
        <v>5.0</v>
      </c>
      <c r="I33" s="1" t="s">
        <v>32</v>
      </c>
    </row>
    <row r="34" ht="15.75" hidden="1" customHeight="1">
      <c r="A34" s="1" t="s">
        <v>36</v>
      </c>
      <c r="B34" s="1" t="s">
        <v>26</v>
      </c>
      <c r="C34" s="1" t="s">
        <v>24</v>
      </c>
      <c r="D34" s="1">
        <v>2023.0</v>
      </c>
      <c r="E34" s="1">
        <v>13.5</v>
      </c>
      <c r="F34" s="1">
        <v>64.0</v>
      </c>
      <c r="G34" s="1">
        <v>2.0</v>
      </c>
      <c r="H34" s="1">
        <v>4.74</v>
      </c>
      <c r="I34" s="1" t="s">
        <v>32</v>
      </c>
    </row>
    <row r="35" ht="15.75" hidden="1" customHeight="1">
      <c r="A35" s="1" t="s">
        <v>37</v>
      </c>
      <c r="B35" s="1" t="s">
        <v>26</v>
      </c>
      <c r="C35" s="1" t="s">
        <v>31</v>
      </c>
      <c r="D35" s="1">
        <v>2023.0</v>
      </c>
      <c r="E35" s="1">
        <v>10.0</v>
      </c>
      <c r="F35" s="1">
        <v>46.0</v>
      </c>
      <c r="G35" s="1">
        <v>4.0</v>
      </c>
      <c r="H35" s="1">
        <v>4.6</v>
      </c>
      <c r="I35" s="1" t="s">
        <v>32</v>
      </c>
    </row>
    <row r="36" ht="15.75" hidden="1" customHeight="1">
      <c r="A36" s="1" t="s">
        <v>34</v>
      </c>
      <c r="B36" s="1" t="s">
        <v>26</v>
      </c>
      <c r="C36" s="1" t="s">
        <v>16</v>
      </c>
      <c r="D36" s="1">
        <v>2023.0</v>
      </c>
      <c r="E36" s="1">
        <v>17.0</v>
      </c>
      <c r="F36" s="1">
        <v>77.0</v>
      </c>
      <c r="G36" s="1">
        <v>1.0</v>
      </c>
      <c r="H36" s="1">
        <v>4.53</v>
      </c>
      <c r="I36" s="1" t="s">
        <v>32</v>
      </c>
    </row>
    <row r="37" ht="15.75" hidden="1" customHeight="1">
      <c r="A37" s="1" t="s">
        <v>33</v>
      </c>
      <c r="B37" s="1" t="s">
        <v>18</v>
      </c>
      <c r="C37" s="1" t="s">
        <v>20</v>
      </c>
      <c r="D37" s="1">
        <v>2023.0</v>
      </c>
      <c r="E37" s="1">
        <v>16.5</v>
      </c>
      <c r="F37" s="1">
        <v>74.3</v>
      </c>
      <c r="G37" s="1">
        <v>3.0</v>
      </c>
      <c r="H37" s="1">
        <v>4.5</v>
      </c>
      <c r="I37" s="1" t="s">
        <v>32</v>
      </c>
    </row>
    <row r="38" ht="15.75" hidden="1" customHeight="1">
      <c r="A38" s="1" t="s">
        <v>38</v>
      </c>
      <c r="B38" s="1" t="s">
        <v>26</v>
      </c>
      <c r="C38" s="1" t="s">
        <v>20</v>
      </c>
      <c r="D38" s="1">
        <v>2023.0</v>
      </c>
      <c r="E38" s="1">
        <v>9.5</v>
      </c>
      <c r="F38" s="1">
        <v>33.0</v>
      </c>
      <c r="G38" s="1">
        <v>5.0</v>
      </c>
      <c r="H38" s="1">
        <v>3.47</v>
      </c>
      <c r="I38" s="1" t="s">
        <v>39</v>
      </c>
    </row>
    <row r="39" ht="15.75" hidden="1" customHeight="1">
      <c r="A39" s="1" t="s">
        <v>40</v>
      </c>
      <c r="B39" s="1" t="s">
        <v>10</v>
      </c>
      <c r="C39" s="1" t="s">
        <v>31</v>
      </c>
      <c r="D39" s="1">
        <v>2023.0</v>
      </c>
      <c r="E39" s="1">
        <v>6.5</v>
      </c>
      <c r="F39" s="1">
        <v>22.0</v>
      </c>
      <c r="G39" s="1">
        <v>5.0</v>
      </c>
      <c r="H39" s="1">
        <v>3.38</v>
      </c>
      <c r="I39" s="1" t="s">
        <v>39</v>
      </c>
    </row>
    <row r="40" ht="15.75" hidden="1" customHeight="1">
      <c r="A40" s="1" t="s">
        <v>41</v>
      </c>
      <c r="B40" s="1" t="s">
        <v>26</v>
      </c>
      <c r="C40" s="1" t="s">
        <v>14</v>
      </c>
      <c r="D40" s="1">
        <v>2023.0</v>
      </c>
      <c r="E40" s="1">
        <v>11.0</v>
      </c>
      <c r="F40" s="1">
        <v>16.0</v>
      </c>
      <c r="G40" s="1">
        <v>6.0</v>
      </c>
      <c r="H40" s="1">
        <v>1.45</v>
      </c>
      <c r="I40" s="1" t="s">
        <v>42</v>
      </c>
    </row>
    <row r="41" ht="15.75" hidden="1" customHeight="1">
      <c r="A41" s="1" t="s">
        <v>43</v>
      </c>
      <c r="B41" s="1" t="s">
        <v>18</v>
      </c>
      <c r="C41" s="1" t="s">
        <v>16</v>
      </c>
      <c r="D41" s="1">
        <v>2023.0</v>
      </c>
      <c r="E41" s="1">
        <v>4.0</v>
      </c>
      <c r="F41" s="1">
        <v>0.0</v>
      </c>
      <c r="G41" s="1">
        <v>8.0</v>
      </c>
      <c r="H41" s="1">
        <v>0.0</v>
      </c>
      <c r="I41" s="1" t="s">
        <v>42</v>
      </c>
    </row>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D$1:$D$1000">
    <filterColumn colId="0">
      <filters>
        <filter val="2022"/>
      </filters>
    </filterColumn>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7</v>
      </c>
      <c r="H1" s="1" t="s">
        <v>6</v>
      </c>
      <c r="I1" s="1" t="s">
        <v>8</v>
      </c>
      <c r="J1" s="1" t="s">
        <v>44</v>
      </c>
      <c r="K1" s="1" t="s">
        <v>45</v>
      </c>
      <c r="L1" s="1" t="s">
        <v>46</v>
      </c>
      <c r="M1" s="1" t="s">
        <v>47</v>
      </c>
      <c r="N1" s="1" t="s">
        <v>48</v>
      </c>
      <c r="O1" s="1" t="s">
        <v>49</v>
      </c>
      <c r="P1" s="1" t="s">
        <v>50</v>
      </c>
      <c r="Q1" s="1" t="s">
        <v>51</v>
      </c>
    </row>
    <row r="2" ht="15.75" customHeight="1">
      <c r="A2" s="1" t="s">
        <v>9</v>
      </c>
      <c r="B2" s="1" t="s">
        <v>10</v>
      </c>
      <c r="C2" s="1" t="s">
        <v>11</v>
      </c>
      <c r="D2" s="1">
        <v>2022.0</v>
      </c>
      <c r="E2" s="1">
        <v>1.5</v>
      </c>
      <c r="F2" s="1">
        <v>100.0</v>
      </c>
      <c r="G2" s="1">
        <v>66.67</v>
      </c>
      <c r="H2" s="1">
        <v>1.0</v>
      </c>
      <c r="I2" s="1" t="s">
        <v>12</v>
      </c>
      <c r="J2" s="1" t="str">
        <f t="array" ref="J2">_xlfn.xlookup(A2,Batting!A:A,Batting!E:E,"")</f>
        <v/>
      </c>
      <c r="K2" s="1" t="str">
        <f t="array" ref="K2">_xlfn.xlookup(A2,Batting!A:A,Batting!F:F,"")</f>
        <v/>
      </c>
      <c r="L2" s="1" t="str">
        <f t="array" ref="L2">_xlfn.xlookup(A2,Batting!A:A,Batting!G:G,"")</f>
        <v/>
      </c>
      <c r="M2" s="1" t="str">
        <f t="array" ref="M2">_xlfn.xlookup(A2,Batting!A:A,Batting!H:H,"")</f>
        <v/>
      </c>
      <c r="N2" s="1">
        <f t="array" ref="N2">_xlfn.xlookup(A2,Bowling!A:A,Bowling!F:F,"")</f>
        <v>26</v>
      </c>
      <c r="O2" s="1">
        <f t="array" ref="O2">_xlfn.xlookup(A2,Bowling!A:A,Bowling!G:G,"")</f>
        <v>5.09</v>
      </c>
      <c r="P2" s="1">
        <f t="array" ref="P2">_xlfn.xlookup(A2,Bowling!A:A,Bowling!H:H,"")</f>
        <v>1.86</v>
      </c>
      <c r="Q2" s="1">
        <f t="array" ref="Q2">_xlfn.xlookup(A2,Bowling!A:A,Bowling!I:I,"")</f>
        <v>61.78</v>
      </c>
    </row>
    <row r="3" ht="15.75" customHeight="1">
      <c r="A3" s="1" t="s">
        <v>13</v>
      </c>
      <c r="B3" s="1" t="s">
        <v>10</v>
      </c>
      <c r="C3" s="1" t="s">
        <v>14</v>
      </c>
      <c r="D3" s="1">
        <v>2022.0</v>
      </c>
      <c r="E3" s="1">
        <v>1.2</v>
      </c>
      <c r="F3" s="1">
        <v>62.0</v>
      </c>
      <c r="G3" s="1">
        <v>51.67</v>
      </c>
      <c r="H3" s="1">
        <v>3.0</v>
      </c>
      <c r="I3" s="1" t="s">
        <v>12</v>
      </c>
      <c r="J3" s="1" t="str">
        <f t="array" ref="J3">_xlfn.xlookup(A3,Batting!A:A,Batting!E:E,"")</f>
        <v/>
      </c>
      <c r="K3" s="1" t="str">
        <f t="array" ref="K3">_xlfn.xlookup(A3,Batting!A:A,Batting!F:F,"")</f>
        <v/>
      </c>
      <c r="L3" s="1" t="str">
        <f t="array" ref="L3">_xlfn.xlookup(A3,Batting!A:A,Batting!G:G,"")</f>
        <v/>
      </c>
      <c r="M3" s="1" t="str">
        <f t="array" ref="M3">_xlfn.xlookup(A3,Batting!A:A,Batting!H:H,"")</f>
        <v/>
      </c>
      <c r="N3" s="1">
        <f t="array" ref="N3">_xlfn.xlookup(A3,Bowling!A:A,Bowling!F:F,"")</f>
        <v>25</v>
      </c>
      <c r="O3" s="1">
        <f t="array" ref="O3">_xlfn.xlookup(A3,Bowling!A:A,Bowling!G:G,"")</f>
        <v>5.69</v>
      </c>
      <c r="P3" s="1">
        <f t="array" ref="P3">_xlfn.xlookup(A3,Bowling!A:A,Bowling!H:H,"")</f>
        <v>1.79</v>
      </c>
      <c r="Q3" s="1">
        <f t="array" ref="Q3">_xlfn.xlookup(A3,Bowling!A:A,Bowling!I:I,"")</f>
        <v>60.34</v>
      </c>
    </row>
    <row r="4" ht="15.75" customHeight="1">
      <c r="A4" s="1" t="s">
        <v>15</v>
      </c>
      <c r="B4" s="1" t="s">
        <v>10</v>
      </c>
      <c r="C4" s="1" t="s">
        <v>16</v>
      </c>
      <c r="D4" s="1">
        <v>2022.0</v>
      </c>
      <c r="E4" s="1">
        <v>1.8</v>
      </c>
      <c r="F4" s="1">
        <v>66.0</v>
      </c>
      <c r="G4" s="1">
        <v>36.67</v>
      </c>
      <c r="H4" s="1">
        <v>2.0</v>
      </c>
      <c r="I4" s="1" t="s">
        <v>12</v>
      </c>
      <c r="J4" s="1" t="str">
        <f t="array" ref="J4">_xlfn.xlookup(A4,Batting!A:A,Batting!E:E,"")</f>
        <v/>
      </c>
      <c r="K4" s="1" t="str">
        <f t="array" ref="K4">_xlfn.xlookup(A4,Batting!A:A,Batting!F:F,"")</f>
        <v/>
      </c>
      <c r="L4" s="1" t="str">
        <f t="array" ref="L4">_xlfn.xlookup(A4,Batting!A:A,Batting!G:G,"")</f>
        <v/>
      </c>
      <c r="M4" s="1" t="str">
        <f t="array" ref="M4">_xlfn.xlookup(A4,Batting!A:A,Batting!H:H,"")</f>
        <v/>
      </c>
      <c r="N4" s="1">
        <f t="array" ref="N4">_xlfn.xlookup(A4,Bowling!A:A,Bowling!F:F,"")</f>
        <v>23</v>
      </c>
      <c r="O4" s="1">
        <f t="array" ref="O4">_xlfn.xlookup(A4,Bowling!A:A,Bowling!G:G,"")</f>
        <v>5.63</v>
      </c>
      <c r="P4" s="1">
        <f t="array" ref="P4">_xlfn.xlookup(A4,Bowling!A:A,Bowling!H:H,"")</f>
        <v>1.64</v>
      </c>
      <c r="Q4" s="1">
        <f t="array" ref="Q4">_xlfn.xlookup(A4,Bowling!A:A,Bowling!I:I,"")</f>
        <v>59.52</v>
      </c>
    </row>
    <row r="5" ht="15.75" customHeight="1">
      <c r="A5" s="1" t="s">
        <v>17</v>
      </c>
      <c r="B5" s="1" t="s">
        <v>18</v>
      </c>
      <c r="C5" s="1" t="s">
        <v>14</v>
      </c>
      <c r="D5" s="1">
        <v>2022.0</v>
      </c>
      <c r="E5" s="1">
        <v>2.0</v>
      </c>
      <c r="F5" s="1">
        <v>32.9</v>
      </c>
      <c r="G5" s="1">
        <v>16.45</v>
      </c>
      <c r="H5" s="1">
        <v>6.0</v>
      </c>
      <c r="I5" s="1" t="s">
        <v>12</v>
      </c>
      <c r="J5" s="1">
        <f t="array" ref="J5">_xlfn.xlookup(A5,Batting!A:A,Batting!E:E,"")</f>
        <v>310</v>
      </c>
      <c r="K5" s="1">
        <f t="array" ref="K5">_xlfn.xlookup(A5,Batting!A:A,Batting!F:F,"")</f>
        <v>25.83</v>
      </c>
      <c r="L5" s="1">
        <f t="array" ref="L5">_xlfn.xlookup(A5,Batting!A:A,Batting!G:G,"")</f>
        <v>119.23</v>
      </c>
      <c r="M5" s="1">
        <f t="array" ref="M5">_xlfn.xlookup(A5,Batting!A:A,Batting!H:H,"")</f>
        <v>51.61</v>
      </c>
      <c r="N5" s="1" t="str">
        <f t="array" ref="N5">_xlfn.xlookup(A5,Bowling!A:A,Bowling!F:F,"")</f>
        <v/>
      </c>
      <c r="O5" s="1" t="str">
        <f t="array" ref="O5">_xlfn.xlookup(A5,Bowling!A:A,Bowling!G:G,"")</f>
        <v/>
      </c>
      <c r="P5" s="1" t="str">
        <f t="array" ref="P5">_xlfn.xlookup(A5,Bowling!A:A,Bowling!H:H,"")</f>
        <v/>
      </c>
      <c r="Q5" s="1" t="str">
        <f t="array" ref="Q5">_xlfn.xlookup(A5,Bowling!A:A,Bowling!I:I,"")</f>
        <v/>
      </c>
    </row>
    <row r="6" ht="15.75" customHeight="1">
      <c r="A6" s="1" t="s">
        <v>19</v>
      </c>
      <c r="B6" s="1" t="s">
        <v>18</v>
      </c>
      <c r="C6" s="1" t="s">
        <v>20</v>
      </c>
      <c r="D6" s="1">
        <v>2022.0</v>
      </c>
      <c r="E6" s="1">
        <v>3.5</v>
      </c>
      <c r="F6" s="1">
        <v>57.1</v>
      </c>
      <c r="G6" s="1">
        <v>16.31</v>
      </c>
      <c r="H6" s="1">
        <v>4.0</v>
      </c>
      <c r="I6" s="1" t="s">
        <v>12</v>
      </c>
      <c r="J6" s="1">
        <f t="array" ref="J6">_xlfn.xlookup(A6,Batting!A:A,Batting!E:E,"")</f>
        <v>390</v>
      </c>
      <c r="K6" s="1">
        <f t="array" ref="K6">_xlfn.xlookup(A6,Batting!A:A,Batting!F:F,"")</f>
        <v>30</v>
      </c>
      <c r="L6" s="1">
        <f t="array" ref="L6">_xlfn.xlookup(A6,Batting!A:A,Batting!G:G,"")</f>
        <v>125.81</v>
      </c>
      <c r="M6" s="1">
        <f t="array" ref="M6">_xlfn.xlookup(A6,Batting!A:A,Batting!H:H,"")</f>
        <v>55.38</v>
      </c>
      <c r="N6" s="1" t="str">
        <f t="array" ref="N6">_xlfn.xlookup(A6,Bowling!A:A,Bowling!F:F,"")</f>
        <v/>
      </c>
      <c r="O6" s="1" t="str">
        <f t="array" ref="O6">_xlfn.xlookup(A6,Bowling!A:A,Bowling!G:G,"")</f>
        <v/>
      </c>
      <c r="P6" s="1" t="str">
        <f t="array" ref="P6">_xlfn.xlookup(A6,Bowling!A:A,Bowling!H:H,"")</f>
        <v/>
      </c>
      <c r="Q6" s="1" t="str">
        <f t="array" ref="Q6">_xlfn.xlookup(A6,Bowling!A:A,Bowling!I:I,"")</f>
        <v/>
      </c>
    </row>
    <row r="7" ht="15.75" customHeight="1">
      <c r="A7" s="1" t="s">
        <v>21</v>
      </c>
      <c r="B7" s="1" t="s">
        <v>18</v>
      </c>
      <c r="C7" s="1" t="s">
        <v>22</v>
      </c>
      <c r="D7" s="1">
        <v>2022.0</v>
      </c>
      <c r="E7" s="1">
        <v>6.5</v>
      </c>
      <c r="F7" s="1">
        <v>100.0</v>
      </c>
      <c r="G7" s="1">
        <v>15.38</v>
      </c>
      <c r="H7" s="1">
        <v>1.0</v>
      </c>
      <c r="I7" s="1" t="s">
        <v>12</v>
      </c>
      <c r="J7" s="1">
        <f t="array" ref="J7">_xlfn.xlookup(A7,Batting!A:A,Batting!E:E,"")</f>
        <v>520</v>
      </c>
      <c r="K7" s="1">
        <f t="array" ref="K7">_xlfn.xlookup(A7,Batting!A:A,Batting!F:F,"")</f>
        <v>43.33</v>
      </c>
      <c r="L7" s="1">
        <f t="array" ref="L7">_xlfn.xlookup(A7,Batting!A:A,Batting!G:G,"")</f>
        <v>157.58</v>
      </c>
      <c r="M7" s="1">
        <f t="array" ref="M7">_xlfn.xlookup(A7,Batting!A:A,Batting!H:H,"")</f>
        <v>76.92</v>
      </c>
      <c r="N7" s="1" t="str">
        <f t="array" ref="N7">_xlfn.xlookup(A7,Bowling!A:A,Bowling!F:F,"")</f>
        <v/>
      </c>
      <c r="O7" s="1" t="str">
        <f t="array" ref="O7">_xlfn.xlookup(A7,Bowling!A:A,Bowling!G:G,"")</f>
        <v/>
      </c>
      <c r="P7" s="1" t="str">
        <f t="array" ref="P7">_xlfn.xlookup(A7,Bowling!A:A,Bowling!H:H,"")</f>
        <v/>
      </c>
      <c r="Q7" s="1" t="str">
        <f t="array" ref="Q7">_xlfn.xlookup(A7,Bowling!A:A,Bowling!I:I,"")</f>
        <v/>
      </c>
    </row>
    <row r="8" ht="15.75" customHeight="1">
      <c r="A8" s="1" t="s">
        <v>23</v>
      </c>
      <c r="B8" s="1" t="s">
        <v>18</v>
      </c>
      <c r="C8" s="1" t="s">
        <v>24</v>
      </c>
      <c r="D8" s="1">
        <v>2022.0</v>
      </c>
      <c r="E8" s="1">
        <v>7.0</v>
      </c>
      <c r="F8" s="1">
        <v>82.9</v>
      </c>
      <c r="G8" s="1">
        <v>11.84</v>
      </c>
      <c r="H8" s="1">
        <v>2.0</v>
      </c>
      <c r="I8" s="1" t="s">
        <v>12</v>
      </c>
      <c r="J8" s="1">
        <f t="array" ref="J8">_xlfn.xlookup(A8,Batting!A:A,Batting!E:E,"")</f>
        <v>430</v>
      </c>
      <c r="K8" s="1">
        <f t="array" ref="K8">_xlfn.xlookup(A8,Batting!A:A,Batting!F:F,"")</f>
        <v>33.08</v>
      </c>
      <c r="L8" s="1">
        <f t="array" ref="L8">_xlfn.xlookup(A8,Batting!A:A,Batting!G:G,"")</f>
        <v>126.47</v>
      </c>
      <c r="M8" s="1">
        <f t="array" ref="M8">_xlfn.xlookup(A8,Batting!A:A,Batting!H:H,"")</f>
        <v>59.53</v>
      </c>
      <c r="N8" s="1" t="str">
        <f t="array" ref="N8">_xlfn.xlookup(A8,Bowling!A:A,Bowling!F:F,"")</f>
        <v/>
      </c>
      <c r="O8" s="1" t="str">
        <f t="array" ref="O8">_xlfn.xlookup(A8,Bowling!A:A,Bowling!G:G,"")</f>
        <v/>
      </c>
      <c r="P8" s="1" t="str">
        <f t="array" ref="P8">_xlfn.xlookup(A8,Bowling!A:A,Bowling!H:H,"")</f>
        <v/>
      </c>
      <c r="Q8" s="1" t="str">
        <f t="array" ref="Q8">_xlfn.xlookup(A8,Bowling!A:A,Bowling!I:I,"")</f>
        <v/>
      </c>
    </row>
    <row r="9" ht="15.75" customHeight="1">
      <c r="A9" s="1" t="s">
        <v>25</v>
      </c>
      <c r="B9" s="1" t="s">
        <v>26</v>
      </c>
      <c r="C9" s="1" t="s">
        <v>22</v>
      </c>
      <c r="D9" s="1">
        <v>2022.0</v>
      </c>
      <c r="E9" s="1">
        <v>10.0</v>
      </c>
      <c r="F9" s="1">
        <v>64.0</v>
      </c>
      <c r="G9" s="1">
        <v>6.4</v>
      </c>
      <c r="H9" s="1">
        <v>2.0</v>
      </c>
      <c r="I9" s="1" t="s">
        <v>27</v>
      </c>
      <c r="J9" s="1">
        <f t="array" ref="J9">_xlfn.xlookup(A9,Batting!A:A,Batting!E:E,"")</f>
        <v>290</v>
      </c>
      <c r="K9" s="1">
        <f t="array" ref="K9">_xlfn.xlookup(A9,Batting!A:A,Batting!F:F,"")</f>
        <v>22.31</v>
      </c>
      <c r="L9" s="1">
        <f t="array" ref="L9">_xlfn.xlookup(A9,Batting!A:A,Batting!G:G,"")</f>
        <v>126.09</v>
      </c>
      <c r="M9" s="1">
        <f t="array" ref="M9">_xlfn.xlookup(A9,Batting!A:A,Batting!H:H,"")</f>
        <v>57.24</v>
      </c>
      <c r="N9" s="1">
        <f t="array" ref="N9">_xlfn.xlookup(A9,Bowling!A:A,Bowling!F:F,"")</f>
        <v>13</v>
      </c>
      <c r="O9" s="1">
        <f t="array" ref="O9">_xlfn.xlookup(A9,Bowling!A:A,Bowling!G:G,"")</f>
        <v>6.5</v>
      </c>
      <c r="P9" s="1">
        <f t="array" ref="P9">_xlfn.xlookup(A9,Bowling!A:A,Bowling!H:H,"")</f>
        <v>0.93</v>
      </c>
      <c r="Q9" s="1">
        <f t="array" ref="Q9">_xlfn.xlookup(A9,Bowling!A:A,Bowling!I:I,"")</f>
        <v>42.67</v>
      </c>
    </row>
    <row r="10" ht="15.75" customHeight="1">
      <c r="A10" s="1" t="s">
        <v>28</v>
      </c>
      <c r="B10" s="1" t="s">
        <v>18</v>
      </c>
      <c r="C10" s="1" t="s">
        <v>11</v>
      </c>
      <c r="D10" s="1">
        <v>2022.0</v>
      </c>
      <c r="E10" s="1">
        <v>5.5</v>
      </c>
      <c r="F10" s="1">
        <v>34.3</v>
      </c>
      <c r="G10" s="1">
        <v>6.24</v>
      </c>
      <c r="H10" s="1">
        <v>5.0</v>
      </c>
      <c r="I10" s="1" t="s">
        <v>27</v>
      </c>
      <c r="J10" s="1">
        <f t="array" ref="J10">_xlfn.xlookup(A10,Batting!A:A,Batting!E:E,"")</f>
        <v>360</v>
      </c>
      <c r="K10" s="1">
        <f t="array" ref="K10">_xlfn.xlookup(A10,Batting!A:A,Batting!F:F,"")</f>
        <v>27.69</v>
      </c>
      <c r="L10" s="1">
        <f t="array" ref="L10">_xlfn.xlookup(A10,Batting!A:A,Batting!G:G,"")</f>
        <v>124.14</v>
      </c>
      <c r="M10" s="1">
        <f t="array" ref="M10">_xlfn.xlookup(A10,Batting!A:A,Batting!H:H,"")</f>
        <v>50</v>
      </c>
      <c r="N10" s="1" t="str">
        <f t="array" ref="N10">_xlfn.xlookup(A10,Bowling!A:A,Bowling!F:F,"")</f>
        <v/>
      </c>
      <c r="O10" s="1" t="str">
        <f t="array" ref="O10">_xlfn.xlookup(A10,Bowling!A:A,Bowling!G:G,"")</f>
        <v/>
      </c>
      <c r="P10" s="1" t="str">
        <f t="array" ref="P10">_xlfn.xlookup(A10,Bowling!A:A,Bowling!H:H,"")</f>
        <v/>
      </c>
      <c r="Q10" s="1" t="str">
        <f t="array" ref="Q10">_xlfn.xlookup(A10,Bowling!A:A,Bowling!I:I,"")</f>
        <v/>
      </c>
    </row>
    <row r="11" ht="15.75" customHeight="1">
      <c r="A11" s="1" t="s">
        <v>29</v>
      </c>
      <c r="B11" s="1" t="s">
        <v>10</v>
      </c>
      <c r="C11" s="1" t="s">
        <v>20</v>
      </c>
      <c r="D11" s="1">
        <v>2022.0</v>
      </c>
      <c r="E11" s="1">
        <v>1.0</v>
      </c>
      <c r="F11" s="1">
        <v>6.0</v>
      </c>
      <c r="G11" s="1">
        <v>6.0</v>
      </c>
      <c r="H11" s="1">
        <v>6.0</v>
      </c>
      <c r="I11" s="1" t="s">
        <v>27</v>
      </c>
      <c r="J11" s="1" t="str">
        <f t="array" ref="J11">_xlfn.xlookup(A11,Batting!A:A,Batting!E:E,"")</f>
        <v/>
      </c>
      <c r="K11" s="1" t="str">
        <f t="array" ref="K11">_xlfn.xlookup(A11,Batting!A:A,Batting!F:F,"")</f>
        <v/>
      </c>
      <c r="L11" s="1" t="str">
        <f t="array" ref="L11">_xlfn.xlookup(A11,Batting!A:A,Batting!G:G,"")</f>
        <v/>
      </c>
      <c r="M11" s="1" t="str">
        <f t="array" ref="M11">_xlfn.xlookup(A11,Batting!A:A,Batting!H:H,"")</f>
        <v/>
      </c>
      <c r="N11" s="1">
        <f t="array" ref="N11">_xlfn.xlookup(A11,Bowling!A:A,Bowling!F:F,"")</f>
        <v>17</v>
      </c>
      <c r="O11" s="1">
        <f t="array" ref="O11">_xlfn.xlookup(A11,Bowling!A:A,Bowling!G:G,"")</f>
        <v>6.25</v>
      </c>
      <c r="P11" s="1">
        <f t="array" ref="P11">_xlfn.xlookup(A11,Bowling!A:A,Bowling!H:H,"")</f>
        <v>1.21</v>
      </c>
      <c r="Q11" s="1">
        <f t="array" ref="Q11">_xlfn.xlookup(A11,Bowling!A:A,Bowling!I:I,"")</f>
        <v>49.68</v>
      </c>
    </row>
    <row r="12" ht="15.75" customHeight="1">
      <c r="A12" s="1" t="s">
        <v>30</v>
      </c>
      <c r="B12" s="1" t="s">
        <v>10</v>
      </c>
      <c r="C12" s="1" t="s">
        <v>31</v>
      </c>
      <c r="D12" s="1">
        <v>2022.0</v>
      </c>
      <c r="E12" s="1">
        <v>9.0</v>
      </c>
      <c r="F12" s="1">
        <v>52.0</v>
      </c>
      <c r="G12" s="1">
        <v>5.78</v>
      </c>
      <c r="H12" s="1">
        <v>4.0</v>
      </c>
      <c r="I12" s="1" t="s">
        <v>32</v>
      </c>
      <c r="J12" s="1" t="str">
        <f t="array" ref="J12">_xlfn.xlookup(A12,Batting!A:A,Batting!E:E,"")</f>
        <v/>
      </c>
      <c r="K12" s="1" t="str">
        <f t="array" ref="K12">_xlfn.xlookup(A12,Batting!A:A,Batting!F:F,"")</f>
        <v/>
      </c>
      <c r="L12" s="1" t="str">
        <f t="array" ref="L12">_xlfn.xlookup(A12,Batting!A:A,Batting!G:G,"")</f>
        <v/>
      </c>
      <c r="M12" s="1" t="str">
        <f t="array" ref="M12">_xlfn.xlookup(A12,Batting!A:A,Batting!H:H,"")</f>
        <v/>
      </c>
      <c r="N12" s="1">
        <f t="array" ref="N12">_xlfn.xlookup(A12,Bowling!A:A,Bowling!F:F,"")</f>
        <v>20</v>
      </c>
      <c r="O12" s="1">
        <f t="array" ref="O12">_xlfn.xlookup(A12,Bowling!A:A,Bowling!G:G,"")</f>
        <v>5.38</v>
      </c>
      <c r="P12" s="1">
        <f t="array" ref="P12">_xlfn.xlookup(A12,Bowling!A:A,Bowling!H:H,"")</f>
        <v>1.43</v>
      </c>
      <c r="Q12" s="1">
        <f t="array" ref="Q12">_xlfn.xlookup(A12,Bowling!A:A,Bowling!I:I,"")</f>
        <v>56.09</v>
      </c>
    </row>
    <row r="13" ht="15.75" customHeight="1">
      <c r="A13" s="1" t="s">
        <v>33</v>
      </c>
      <c r="B13" s="1" t="s">
        <v>18</v>
      </c>
      <c r="C13" s="1" t="s">
        <v>20</v>
      </c>
      <c r="D13" s="1">
        <v>2022.0</v>
      </c>
      <c r="E13" s="1">
        <v>14.0</v>
      </c>
      <c r="F13" s="1">
        <v>74.3</v>
      </c>
      <c r="G13" s="1">
        <v>5.31</v>
      </c>
      <c r="H13" s="1">
        <v>3.0</v>
      </c>
      <c r="I13" s="1" t="s">
        <v>32</v>
      </c>
      <c r="J13" s="1">
        <f t="array" ref="J13">_xlfn.xlookup(A13,Batting!A:A,Batting!E:E,"")</f>
        <v>480</v>
      </c>
      <c r="K13" s="1">
        <f t="array" ref="K13">_xlfn.xlookup(A13,Batting!A:A,Batting!F:F,"")</f>
        <v>34.29</v>
      </c>
      <c r="L13" s="1">
        <f t="array" ref="L13">_xlfn.xlookup(A13,Batting!A:A,Batting!G:G,"")</f>
        <v>126.32</v>
      </c>
      <c r="M13" s="1">
        <f t="array" ref="M13">_xlfn.xlookup(A13,Batting!A:A,Batting!H:H,"")</f>
        <v>57.5</v>
      </c>
      <c r="N13" s="1" t="str">
        <f t="array" ref="N13">_xlfn.xlookup(A13,Bowling!A:A,Bowling!F:F,"")</f>
        <v/>
      </c>
      <c r="O13" s="1" t="str">
        <f t="array" ref="O13">_xlfn.xlookup(A13,Bowling!A:A,Bowling!G:G,"")</f>
        <v/>
      </c>
      <c r="P13" s="1" t="str">
        <f t="array" ref="P13">_xlfn.xlookup(A13,Bowling!A:A,Bowling!H:H,"")</f>
        <v/>
      </c>
      <c r="Q13" s="1" t="str">
        <f t="array" ref="Q13">_xlfn.xlookup(A13,Bowling!A:A,Bowling!I:I,"")</f>
        <v/>
      </c>
    </row>
    <row r="14" ht="15.75" customHeight="1">
      <c r="A14" s="1" t="s">
        <v>34</v>
      </c>
      <c r="B14" s="1" t="s">
        <v>26</v>
      </c>
      <c r="C14" s="1" t="s">
        <v>16</v>
      </c>
      <c r="D14" s="1">
        <v>2022.0</v>
      </c>
      <c r="E14" s="1">
        <v>15.25</v>
      </c>
      <c r="F14" s="1">
        <v>75.0</v>
      </c>
      <c r="G14" s="1">
        <v>4.92</v>
      </c>
      <c r="H14" s="1">
        <v>1.0</v>
      </c>
      <c r="I14" s="1" t="s">
        <v>32</v>
      </c>
      <c r="J14" s="1">
        <f t="array" ref="J14">_xlfn.xlookup(A14,Batting!A:A,Batting!E:E,"")</f>
        <v>310</v>
      </c>
      <c r="K14" s="1">
        <f t="array" ref="K14">_xlfn.xlookup(A14,Batting!A:A,Batting!F:F,"")</f>
        <v>22.14</v>
      </c>
      <c r="L14" s="1">
        <f t="array" ref="L14">_xlfn.xlookup(A14,Batting!A:A,Batting!G:G,"")</f>
        <v>129.17</v>
      </c>
      <c r="M14" s="1">
        <f t="array" ref="M14">_xlfn.xlookup(A14,Batting!A:A,Batting!H:H,"")</f>
        <v>63.23</v>
      </c>
      <c r="N14" s="1">
        <f t="array" ref="N14">_xlfn.xlookup(A14,Bowling!A:A,Bowling!F:F,"")</f>
        <v>14</v>
      </c>
      <c r="O14" s="1">
        <f t="array" ref="O14">_xlfn.xlookup(A14,Bowling!A:A,Bowling!G:G,"")</f>
        <v>6.73</v>
      </c>
      <c r="P14" s="1">
        <f t="array" ref="P14">_xlfn.xlookup(A14,Bowling!A:A,Bowling!H:H,"")</f>
        <v>1</v>
      </c>
      <c r="Q14" s="1">
        <f t="array" ref="Q14">_xlfn.xlookup(A14,Bowling!A:A,Bowling!I:I,"")</f>
        <v>43.27</v>
      </c>
    </row>
    <row r="15" ht="15.75" customHeight="1">
      <c r="A15" s="1" t="s">
        <v>35</v>
      </c>
      <c r="B15" s="1" t="s">
        <v>18</v>
      </c>
      <c r="C15" s="1" t="s">
        <v>22</v>
      </c>
      <c r="D15" s="1">
        <v>2022.0</v>
      </c>
      <c r="E15" s="1">
        <v>3.0</v>
      </c>
      <c r="F15" s="1">
        <v>14.3</v>
      </c>
      <c r="G15" s="1">
        <v>4.77</v>
      </c>
      <c r="H15" s="1">
        <v>7.0</v>
      </c>
      <c r="I15" s="1" t="s">
        <v>32</v>
      </c>
      <c r="J15" s="1">
        <f t="array" ref="J15">_xlfn.xlookup(A15,Batting!A:A,Batting!E:E,"")</f>
        <v>300</v>
      </c>
      <c r="K15" s="1">
        <f t="array" ref="K15">_xlfn.xlookup(A15,Batting!A:A,Batting!F:F,"")</f>
        <v>25</v>
      </c>
      <c r="L15" s="1">
        <f t="array" ref="L15">_xlfn.xlookup(A15,Batting!A:A,Batting!G:G,"")</f>
        <v>117.65</v>
      </c>
      <c r="M15" s="1">
        <f t="array" ref="M15">_xlfn.xlookup(A15,Batting!A:A,Batting!H:H,"")</f>
        <v>50</v>
      </c>
      <c r="N15" s="1" t="str">
        <f t="array" ref="N15">_xlfn.xlookup(A15,Bowling!A:A,Bowling!F:F,"")</f>
        <v/>
      </c>
      <c r="O15" s="1" t="str">
        <f t="array" ref="O15">_xlfn.xlookup(A15,Bowling!A:A,Bowling!G:G,"")</f>
        <v/>
      </c>
      <c r="P15" s="1" t="str">
        <f t="array" ref="P15">_xlfn.xlookup(A15,Bowling!A:A,Bowling!H:H,"")</f>
        <v/>
      </c>
      <c r="Q15" s="1" t="str">
        <f t="array" ref="Q15">_xlfn.xlookup(A15,Bowling!A:A,Bowling!I:I,"")</f>
        <v/>
      </c>
    </row>
    <row r="16" ht="15.75" customHeight="1">
      <c r="A16" s="1" t="s">
        <v>36</v>
      </c>
      <c r="B16" s="1" t="s">
        <v>26</v>
      </c>
      <c r="C16" s="1" t="s">
        <v>24</v>
      </c>
      <c r="D16" s="1">
        <v>2022.0</v>
      </c>
      <c r="E16" s="1">
        <v>11.0</v>
      </c>
      <c r="F16" s="1">
        <v>49.0</v>
      </c>
      <c r="G16" s="1">
        <v>4.45</v>
      </c>
      <c r="H16" s="1">
        <v>3.0</v>
      </c>
      <c r="I16" s="1" t="s">
        <v>32</v>
      </c>
      <c r="J16" s="1">
        <f t="array" ref="J16">_xlfn.xlookup(A16,Batting!A:A,Batting!E:E,"")</f>
        <v>280</v>
      </c>
      <c r="K16" s="1">
        <f t="array" ref="K16">_xlfn.xlookup(A16,Batting!A:A,Batting!F:F,"")</f>
        <v>20</v>
      </c>
      <c r="L16" s="1">
        <f t="array" ref="L16">_xlfn.xlookup(A16,Batting!A:A,Batting!G:G,"")</f>
        <v>127.27</v>
      </c>
      <c r="M16" s="1">
        <f t="array" ref="M16">_xlfn.xlookup(A16,Batting!A:A,Batting!H:H,"")</f>
        <v>55.71</v>
      </c>
      <c r="N16" s="1">
        <f t="array" ref="N16">_xlfn.xlookup(A16,Bowling!A:A,Bowling!F:F,"")</f>
        <v>12</v>
      </c>
      <c r="O16" s="1">
        <f t="array" ref="O16">_xlfn.xlookup(A16,Bowling!A:A,Bowling!G:G,"")</f>
        <v>6.46</v>
      </c>
      <c r="P16" s="1">
        <f t="array" ref="P16">_xlfn.xlookup(A16,Bowling!A:A,Bowling!H:H,"")</f>
        <v>0.86</v>
      </c>
      <c r="Q16" s="1">
        <f t="array" ref="Q16">_xlfn.xlookup(A16,Bowling!A:A,Bowling!I:I,"")</f>
        <v>43.4</v>
      </c>
    </row>
    <row r="17" ht="15.75" customHeight="1">
      <c r="A17" s="1" t="s">
        <v>37</v>
      </c>
      <c r="B17" s="1" t="s">
        <v>26</v>
      </c>
      <c r="C17" s="1" t="s">
        <v>31</v>
      </c>
      <c r="D17" s="1">
        <v>2022.0</v>
      </c>
      <c r="E17" s="1">
        <v>8.5</v>
      </c>
      <c r="F17" s="1">
        <v>34.0</v>
      </c>
      <c r="G17" s="1">
        <v>4.0</v>
      </c>
      <c r="H17" s="1">
        <v>4.0</v>
      </c>
      <c r="I17" s="1" t="s">
        <v>32</v>
      </c>
      <c r="J17" s="1">
        <f t="array" ref="J17">_xlfn.xlookup(A17,Batting!A:A,Batting!E:E,"")</f>
        <v>260</v>
      </c>
      <c r="K17" s="1">
        <f t="array" ref="K17">_xlfn.xlookup(A17,Batting!A:A,Batting!F:F,"")</f>
        <v>20</v>
      </c>
      <c r="L17" s="1">
        <f t="array" ref="L17">_xlfn.xlookup(A17,Batting!A:A,Batting!G:G,"")</f>
        <v>123.81</v>
      </c>
      <c r="M17" s="1">
        <f t="array" ref="M17">_xlfn.xlookup(A17,Batting!A:A,Batting!H:H,"")</f>
        <v>56.92</v>
      </c>
      <c r="N17" s="1">
        <f t="array" ref="N17">_xlfn.xlookup(A17,Bowling!A:A,Bowling!F:F,"")</f>
        <v>11</v>
      </c>
      <c r="O17" s="1">
        <f t="array" ref="O17">_xlfn.xlookup(A17,Bowling!A:A,Bowling!G:G,"")</f>
        <v>6.41</v>
      </c>
      <c r="P17" s="1">
        <f t="array" ref="P17">_xlfn.xlookup(A17,Bowling!A:A,Bowling!H:H,"")</f>
        <v>0.79</v>
      </c>
      <c r="Q17" s="1">
        <f t="array" ref="Q17">_xlfn.xlookup(A17,Bowling!A:A,Bowling!I:I,"")</f>
        <v>42.75</v>
      </c>
    </row>
    <row r="18" ht="15.75" customHeight="1">
      <c r="A18" s="1" t="s">
        <v>38</v>
      </c>
      <c r="B18" s="1" t="s">
        <v>26</v>
      </c>
      <c r="C18" s="1" t="s">
        <v>20</v>
      </c>
      <c r="D18" s="1">
        <v>2022.0</v>
      </c>
      <c r="E18" s="1">
        <v>8.0</v>
      </c>
      <c r="F18" s="1">
        <v>29.0</v>
      </c>
      <c r="G18" s="1">
        <v>3.62</v>
      </c>
      <c r="H18" s="1">
        <v>5.0</v>
      </c>
      <c r="I18" s="1" t="s">
        <v>39</v>
      </c>
      <c r="J18" s="1">
        <f t="array" ref="J18">_xlfn.xlookup(A18,Batting!A:A,Batting!E:E,"")</f>
        <v>240</v>
      </c>
      <c r="K18" s="1">
        <f t="array" ref="K18">_xlfn.xlookup(A18,Batting!A:A,Batting!F:F,"")</f>
        <v>17.14</v>
      </c>
      <c r="L18" s="1">
        <f t="array" ref="L18">_xlfn.xlookup(A18,Batting!A:A,Batting!G:G,"")</f>
        <v>120</v>
      </c>
      <c r="M18" s="1">
        <f t="array" ref="M18">_xlfn.xlookup(A18,Batting!A:A,Batting!H:H,"")</f>
        <v>55.83</v>
      </c>
      <c r="N18" s="1">
        <f t="array" ref="N18">_xlfn.xlookup(A18,Bowling!A:A,Bowling!F:F,"")</f>
        <v>11</v>
      </c>
      <c r="O18" s="1">
        <f t="array" ref="O18">_xlfn.xlookup(A18,Bowling!A:A,Bowling!G:G,"")</f>
        <v>6.2</v>
      </c>
      <c r="P18" s="1">
        <f t="array" ref="P18">_xlfn.xlookup(A18,Bowling!A:A,Bowling!H:H,"")</f>
        <v>0.79</v>
      </c>
      <c r="Q18" s="1">
        <f t="array" ref="Q18">_xlfn.xlookup(A18,Bowling!A:A,Bowling!I:I,"")</f>
        <v>40.58</v>
      </c>
    </row>
    <row r="19" ht="15.75" customHeight="1">
      <c r="A19" s="1" t="s">
        <v>40</v>
      </c>
      <c r="B19" s="1" t="s">
        <v>10</v>
      </c>
      <c r="C19" s="1" t="s">
        <v>31</v>
      </c>
      <c r="D19" s="1">
        <v>2022.0</v>
      </c>
      <c r="E19" s="1">
        <v>4.5</v>
      </c>
      <c r="F19" s="1">
        <v>14.0</v>
      </c>
      <c r="G19" s="1">
        <v>3.11</v>
      </c>
      <c r="H19" s="1">
        <v>5.0</v>
      </c>
      <c r="I19" s="1" t="s">
        <v>39</v>
      </c>
      <c r="J19" s="1" t="str">
        <f t="array" ref="J19">_xlfn.xlookup(A19,Batting!A:A,Batting!E:E,"")</f>
        <v/>
      </c>
      <c r="K19" s="1" t="str">
        <f t="array" ref="K19">_xlfn.xlookup(A19,Batting!A:A,Batting!F:F,"")</f>
        <v/>
      </c>
      <c r="L19" s="1" t="str">
        <f t="array" ref="L19">_xlfn.xlookup(A19,Batting!A:A,Batting!G:G,"")</f>
        <v/>
      </c>
      <c r="M19" s="1" t="str">
        <f t="array" ref="M19">_xlfn.xlookup(A19,Batting!A:A,Batting!H:H,"")</f>
        <v/>
      </c>
      <c r="N19" s="1">
        <f t="array" ref="N19">_xlfn.xlookup(A19,Bowling!A:A,Bowling!F:F,"")</f>
        <v>21</v>
      </c>
      <c r="O19" s="1">
        <f t="array" ref="O19">_xlfn.xlookup(A19,Bowling!A:A,Bowling!G:G,"")</f>
        <v>5.92</v>
      </c>
      <c r="P19" s="1">
        <f t="array" ref="P19">_xlfn.xlookup(A19,Bowling!A:A,Bowling!H:H,"")</f>
        <v>1.5</v>
      </c>
      <c r="Q19" s="1">
        <f t="array" ref="Q19">_xlfn.xlookup(A19,Bowling!A:A,Bowling!I:I,"")</f>
        <v>48.61</v>
      </c>
    </row>
    <row r="20" ht="15.75" customHeight="1">
      <c r="A20" s="1" t="s">
        <v>41</v>
      </c>
      <c r="B20" s="1" t="s">
        <v>26</v>
      </c>
      <c r="C20" s="1" t="s">
        <v>14</v>
      </c>
      <c r="D20" s="1">
        <v>2022.0</v>
      </c>
      <c r="E20" s="1">
        <v>9.0</v>
      </c>
      <c r="F20" s="1">
        <v>15.0</v>
      </c>
      <c r="G20" s="1">
        <v>1.67</v>
      </c>
      <c r="H20" s="1">
        <v>6.0</v>
      </c>
      <c r="I20" s="1" t="s">
        <v>42</v>
      </c>
      <c r="J20" s="1">
        <f t="array" ref="J20">_xlfn.xlookup(A20,Batting!A:A,Batting!E:E,"")</f>
        <v>200</v>
      </c>
      <c r="K20" s="1">
        <f t="array" ref="K20">_xlfn.xlookup(A20,Batting!A:A,Batting!F:F,"")</f>
        <v>15.38</v>
      </c>
      <c r="L20" s="1">
        <f t="array" ref="L20">_xlfn.xlookup(A20,Batting!A:A,Batting!G:G,"")</f>
        <v>117.65</v>
      </c>
      <c r="M20" s="1">
        <f t="array" ref="M20">_xlfn.xlookup(A20,Batting!A:A,Batting!H:H,"")</f>
        <v>57</v>
      </c>
      <c r="N20" s="1">
        <f t="array" ref="N20">_xlfn.xlookup(A20,Bowling!A:A,Bowling!F:F,"")</f>
        <v>10</v>
      </c>
      <c r="O20" s="1">
        <f t="array" ref="O20">_xlfn.xlookup(A20,Bowling!A:A,Bowling!G:G,"")</f>
        <v>6.55</v>
      </c>
      <c r="P20" s="1">
        <f t="array" ref="P20">_xlfn.xlookup(A20,Bowling!A:A,Bowling!H:H,"")</f>
        <v>0.71</v>
      </c>
      <c r="Q20" s="1">
        <f t="array" ref="Q20">_xlfn.xlookup(A20,Bowling!A:A,Bowling!I:I,"")</f>
        <v>42.86</v>
      </c>
    </row>
    <row r="21" ht="15.75" customHeight="1">
      <c r="A21" s="1" t="s">
        <v>43</v>
      </c>
      <c r="B21" s="1" t="s">
        <v>18</v>
      </c>
      <c r="C21" s="1" t="s">
        <v>16</v>
      </c>
      <c r="D21" s="1">
        <v>2022.0</v>
      </c>
      <c r="E21" s="1">
        <v>2.5</v>
      </c>
      <c r="F21" s="1">
        <v>0.0</v>
      </c>
      <c r="G21" s="1">
        <v>0.0</v>
      </c>
      <c r="H21" s="1">
        <v>8.0</v>
      </c>
      <c r="I21" s="1" t="s">
        <v>42</v>
      </c>
      <c r="J21" s="1">
        <f t="array" ref="J21">_xlfn.xlookup(A21,Batting!A:A,Batting!E:E,"")</f>
        <v>280</v>
      </c>
      <c r="K21" s="1">
        <f t="array" ref="K21">_xlfn.xlookup(A21,Batting!A:A,Batting!F:F,"")</f>
        <v>23.33</v>
      </c>
      <c r="L21" s="1">
        <f t="array" ref="L21">_xlfn.xlookup(A21,Batting!A:A,Batting!G:G,"")</f>
        <v>116.67</v>
      </c>
      <c r="M21" s="1">
        <f t="array" ref="M21">_xlfn.xlookup(A21,Batting!A:A,Batting!H:H,"")</f>
        <v>48.57</v>
      </c>
      <c r="N21" s="1" t="str">
        <f t="array" ref="N21">_xlfn.xlookup(A21,Bowling!A:A,Bowling!F:F,"")</f>
        <v/>
      </c>
      <c r="O21" s="1" t="str">
        <f t="array" ref="O21">_xlfn.xlookup(A21,Bowling!A:A,Bowling!G:G,"")</f>
        <v/>
      </c>
      <c r="P21" s="1" t="str">
        <f t="array" ref="P21">_xlfn.xlookup(A21,Bowling!A:A,Bowling!H:H,"")</f>
        <v/>
      </c>
      <c r="Q21" s="1" t="str">
        <f t="array" ref="Q21">_xlfn.xlookup(A21,Bowling!A:A,Bowling!I:I,"")</f>
        <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c r="J42" s="1" t="str">
        <f t="array" ref="J42">IFERROR(_xlfn.xlookup(1, (Batting!$A$2:$A$29=A42)*(Batting!$D$2:$D$29=D42), Batting!$E$2:$E$29),"")</f>
        <v/>
      </c>
    </row>
    <row r="43" ht="15.75" customHeight="1">
      <c r="J43" s="1" t="str">
        <f t="array" ref="J43">IFERROR(_xlfn.xlookup(1, (Batting!$A$2:$A$29=A43)*(Batting!$D$2:$D$29=D43), Batting!$E$2:$E$29),"")</f>
        <v/>
      </c>
    </row>
    <row r="44" ht="15.75" customHeight="1">
      <c r="J44" s="1" t="str">
        <f t="array" ref="J44">IFERROR(_xlfn.xlookup(1, (Batting!$A$2:$A$29=A44)*(Batting!$D$2:$D$29=D44), Batting!$E$2:$E$29),"")</f>
        <v/>
      </c>
    </row>
    <row r="45" ht="15.75" customHeight="1">
      <c r="J45" s="1" t="str">
        <f t="array" ref="J45">IFERROR(_xlfn.xlookup(1, (Batting!$A$2:$A$29=A45)*(Batting!$D$2:$D$29=D45), Batting!$E$2:$E$29),"")</f>
        <v/>
      </c>
    </row>
    <row r="46" ht="15.75" customHeight="1">
      <c r="J46" s="1" t="str">
        <f t="array" ref="J46">IFERROR(_xlfn.xlookup(1, (Batting!$A$2:$A$29=A46)*(Batting!$D$2:$D$29=D46), Batting!$E$2:$E$29),"")</f>
        <v/>
      </c>
    </row>
    <row r="47" ht="15.75" customHeight="1">
      <c r="J47" s="1" t="str">
        <f t="array" ref="J47">IFERROR(_xlfn.xlookup(1, (Batting!$A$2:$A$29=A47)*(Batting!$D$2:$D$29=D47), Batting!$E$2:$E$29),"")</f>
        <v/>
      </c>
    </row>
    <row r="48" ht="15.75" customHeight="1">
      <c r="J48" s="1" t="str">
        <f t="array" ref="J48">IFERROR(_xlfn.xlookup(1, (Batting!$A$2:$A$29=A48)*(Batting!$D$2:$D$29=D48), Batting!$E$2:$E$29),"")</f>
        <v/>
      </c>
    </row>
    <row r="49" ht="15.75" customHeight="1">
      <c r="J49" s="1" t="str">
        <f t="array" ref="J49">IFERROR(_xlfn.xlookup(1, (Batting!$A$2:$A$29=A49)*(Batting!$D$2:$D$29=D49), Batting!$E$2:$E$29),"")</f>
        <v/>
      </c>
    </row>
    <row r="50" ht="15.75" customHeight="1">
      <c r="J50" s="1" t="str">
        <f t="array" ref="J50">IFERROR(_xlfn.xlookup(1, (Batting!$A$2:$A$29=A50)*(Batting!$D$2:$D$29=D50), Batting!$E$2:$E$29),"")</f>
        <v/>
      </c>
    </row>
    <row r="51" ht="15.75" customHeight="1">
      <c r="J51" s="1" t="str">
        <f t="array" ref="J51">IFERROR(_xlfn.xlookup(1, (Batting!$A$2:$A$29=A51)*(Batting!$D$2:$D$29=D51), Batting!$E$2:$E$29),"")</f>
        <v/>
      </c>
    </row>
    <row r="52" ht="15.75" customHeight="1">
      <c r="J52" s="1" t="str">
        <f t="array" ref="J52">IFERROR(_xlfn.xlookup(1, (Batting!$A$2:$A$29=A52)*(Batting!$D$2:$D$29=D52), Batting!$E$2:$E$29),"")</f>
        <v/>
      </c>
    </row>
    <row r="53" ht="15.75" customHeight="1">
      <c r="J53" s="1" t="str">
        <f t="array" ref="J53">IFERROR(_xlfn.xlookup(1, (Batting!$A$2:$A$29=A53)*(Batting!$D$2:$D$29=D53), Batting!$E$2:$E$29),"")</f>
        <v/>
      </c>
    </row>
    <row r="54" ht="15.75" customHeight="1">
      <c r="J54" s="1" t="str">
        <f t="array" ref="J54">IFERROR(_xlfn.xlookup(1, (Batting!$A$2:$A$29=A54)*(Batting!$D$2:$D$29=D54), Batting!$E$2:$E$29),"")</f>
        <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633E81B-C241-4F83-BA97-7F3E629AD7DB}" filter="1" showAutoFilter="1">
      <autoFilter ref="$A$1:$Q$21"/>
    </customSheetView>
    <customSheetView guid="{2633E81B-C241-4F83-BA97-7F3E629AD7DB}" filter="1" showAutoFilter="1">
      <autoFilter ref="$A$1:$Q$21"/>
    </customSheetView>
    <customSheetView guid="{F195BC59-38E5-45A5-8734-2EBC7DC3144C}" filter="1" showAutoFilter="1">
      <autoFilter ref="$A$1:$Q$21"/>
    </customSheetView>
    <customSheetView guid="{F195BC59-38E5-45A5-8734-2EBC7DC3144C}" filter="1" showAutoFilter="1">
      <autoFilter ref="$A$1:$Q$21"/>
    </customSheetView>
    <customSheetView guid="{2633E81B-C241-4F83-BA97-7F3E629AD7DB}" filter="1" showAutoFilter="1">
      <autoFilter ref="$A$1:$Q$21"/>
    </customSheetView>
  </customSheetView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1</v>
      </c>
      <c r="C1" s="1" t="s">
        <v>2</v>
      </c>
      <c r="D1" s="1" t="s">
        <v>3</v>
      </c>
      <c r="E1" s="1" t="s">
        <v>4</v>
      </c>
      <c r="F1" s="1" t="s">
        <v>5</v>
      </c>
      <c r="G1" s="1" t="s">
        <v>7</v>
      </c>
      <c r="H1" s="1" t="s">
        <v>6</v>
      </c>
      <c r="I1" s="1" t="s">
        <v>8</v>
      </c>
      <c r="J1" s="1" t="s">
        <v>44</v>
      </c>
      <c r="K1" s="1" t="s">
        <v>45</v>
      </c>
      <c r="L1" s="1" t="s">
        <v>46</v>
      </c>
      <c r="M1" s="1" t="s">
        <v>47</v>
      </c>
      <c r="N1" s="1" t="s">
        <v>48</v>
      </c>
      <c r="O1" s="1" t="s">
        <v>49</v>
      </c>
      <c r="P1" s="1" t="s">
        <v>50</v>
      </c>
      <c r="Q1" s="1" t="s">
        <v>51</v>
      </c>
    </row>
    <row r="2">
      <c r="A2" s="1" t="s">
        <v>9</v>
      </c>
      <c r="B2" s="1" t="s">
        <v>10</v>
      </c>
      <c r="C2" s="1" t="s">
        <v>11</v>
      </c>
      <c r="D2" s="1">
        <v>2022.0</v>
      </c>
      <c r="E2" s="1">
        <v>1.5</v>
      </c>
      <c r="F2" s="1">
        <v>100.0</v>
      </c>
      <c r="G2" s="1">
        <v>66.67</v>
      </c>
      <c r="H2" s="1">
        <v>1.0</v>
      </c>
      <c r="I2" s="1" t="s">
        <v>12</v>
      </c>
      <c r="J2" s="1" t="str">
        <f t="array" ref="J2">_xlfn.xlookup(A2,Batting!A:A,Batting!E:E,"")</f>
        <v/>
      </c>
      <c r="K2" s="1" t="str">
        <f t="array" ref="K2">_xlfn.xlookup(A2,Batting!A:A,Batting!F:F,"")</f>
        <v/>
      </c>
      <c r="L2" s="1" t="str">
        <f t="array" ref="L2">_xlfn.xlookup(A2,Batting!A:A,Batting!G:G,"")</f>
        <v/>
      </c>
      <c r="M2" s="1" t="str">
        <f t="array" ref="M2">_xlfn.xlookup(A2,Batting!A:A,Batting!H:H,"")</f>
        <v/>
      </c>
      <c r="N2" s="1">
        <f t="array" ref="N2">_xlfn.xlookup(A2,Bowling!A:A,Bowling!F:F,"")</f>
        <v>26</v>
      </c>
      <c r="O2" s="1">
        <f t="array" ref="O2">_xlfn.xlookup(A2,Bowling!A:A,Bowling!G:G,"")</f>
        <v>5.09</v>
      </c>
      <c r="P2" s="1">
        <f t="array" ref="P2">_xlfn.xlookup(A2,Bowling!A:A,Bowling!H:H,"")</f>
        <v>1.86</v>
      </c>
      <c r="Q2" s="1">
        <f t="array" ref="Q2">_xlfn.xlookup(A2,Bowling!A:A,Bowling!I:I,"")</f>
        <v>61.78</v>
      </c>
    </row>
    <row r="3">
      <c r="A3" s="1" t="s">
        <v>13</v>
      </c>
      <c r="B3" s="1" t="s">
        <v>10</v>
      </c>
      <c r="C3" s="1" t="s">
        <v>14</v>
      </c>
      <c r="D3" s="1">
        <v>2022.0</v>
      </c>
      <c r="E3" s="1">
        <v>1.2</v>
      </c>
      <c r="F3" s="1">
        <v>62.0</v>
      </c>
      <c r="G3" s="1">
        <v>51.67</v>
      </c>
      <c r="H3" s="1">
        <v>3.0</v>
      </c>
      <c r="I3" s="1" t="s">
        <v>12</v>
      </c>
      <c r="J3" s="1" t="str">
        <f t="array" ref="J3">_xlfn.xlookup(A3,Batting!A:A,Batting!E:E,"")</f>
        <v/>
      </c>
      <c r="K3" s="1" t="str">
        <f t="array" ref="K3">_xlfn.xlookup(A3,Batting!A:A,Batting!F:F,"")</f>
        <v/>
      </c>
      <c r="L3" s="1" t="str">
        <f t="array" ref="L3">_xlfn.xlookup(A3,Batting!A:A,Batting!G:G,"")</f>
        <v/>
      </c>
      <c r="M3" s="1" t="str">
        <f t="array" ref="M3">_xlfn.xlookup(A3,Batting!A:A,Batting!H:H,"")</f>
        <v/>
      </c>
      <c r="N3" s="1">
        <f t="array" ref="N3">_xlfn.xlookup(A3,Bowling!A:A,Bowling!F:F,"")</f>
        <v>25</v>
      </c>
      <c r="O3" s="1">
        <f t="array" ref="O3">_xlfn.xlookup(A3,Bowling!A:A,Bowling!G:G,"")</f>
        <v>5.69</v>
      </c>
      <c r="P3" s="1">
        <f t="array" ref="P3">_xlfn.xlookup(A3,Bowling!A:A,Bowling!H:H,"")</f>
        <v>1.79</v>
      </c>
      <c r="Q3" s="1">
        <f t="array" ref="Q3">_xlfn.xlookup(A3,Bowling!A:A,Bowling!I:I,"")</f>
        <v>60.34</v>
      </c>
    </row>
    <row r="4">
      <c r="A4" s="1" t="s">
        <v>15</v>
      </c>
      <c r="B4" s="1" t="s">
        <v>10</v>
      </c>
      <c r="C4" s="1" t="s">
        <v>16</v>
      </c>
      <c r="D4" s="1">
        <v>2022.0</v>
      </c>
      <c r="E4" s="1">
        <v>1.8</v>
      </c>
      <c r="F4" s="1">
        <v>66.0</v>
      </c>
      <c r="G4" s="1">
        <v>36.67</v>
      </c>
      <c r="H4" s="1">
        <v>2.0</v>
      </c>
      <c r="I4" s="1" t="s">
        <v>12</v>
      </c>
      <c r="J4" s="1" t="str">
        <f t="array" ref="J4">_xlfn.xlookup(A4,Batting!A:A,Batting!E:E,"")</f>
        <v/>
      </c>
      <c r="K4" s="1" t="str">
        <f t="array" ref="K4">_xlfn.xlookup(A4,Batting!A:A,Batting!F:F,"")</f>
        <v/>
      </c>
      <c r="L4" s="1" t="str">
        <f t="array" ref="L4">_xlfn.xlookup(A4,Batting!A:A,Batting!G:G,"")</f>
        <v/>
      </c>
      <c r="M4" s="1" t="str">
        <f t="array" ref="M4">_xlfn.xlookup(A4,Batting!A:A,Batting!H:H,"")</f>
        <v/>
      </c>
      <c r="N4" s="1">
        <f t="array" ref="N4">_xlfn.xlookup(A4,Bowling!A:A,Bowling!F:F,"")</f>
        <v>23</v>
      </c>
      <c r="O4" s="1">
        <f t="array" ref="O4">_xlfn.xlookup(A4,Bowling!A:A,Bowling!G:G,"")</f>
        <v>5.63</v>
      </c>
      <c r="P4" s="1">
        <f t="array" ref="P4">_xlfn.xlookup(A4,Bowling!A:A,Bowling!H:H,"")</f>
        <v>1.64</v>
      </c>
      <c r="Q4" s="1">
        <f t="array" ref="Q4">_xlfn.xlookup(A4,Bowling!A:A,Bowling!I:I,"")</f>
        <v>59.52</v>
      </c>
    </row>
    <row r="5">
      <c r="A5" s="1" t="s">
        <v>17</v>
      </c>
      <c r="B5" s="1" t="s">
        <v>18</v>
      </c>
      <c r="C5" s="1" t="s">
        <v>14</v>
      </c>
      <c r="D5" s="1">
        <v>2022.0</v>
      </c>
      <c r="E5" s="1">
        <v>2.0</v>
      </c>
      <c r="F5" s="1">
        <v>32.9</v>
      </c>
      <c r="G5" s="1">
        <v>16.45</v>
      </c>
      <c r="H5" s="1">
        <v>6.0</v>
      </c>
      <c r="I5" s="1" t="s">
        <v>12</v>
      </c>
      <c r="J5" s="1">
        <f t="array" ref="J5">_xlfn.xlookup(A5,Batting!A:A,Batting!E:E,"")</f>
        <v>310</v>
      </c>
      <c r="K5" s="1">
        <f t="array" ref="K5">_xlfn.xlookup(A5,Batting!A:A,Batting!F:F,"")</f>
        <v>25.83</v>
      </c>
      <c r="L5" s="1">
        <f t="array" ref="L5">_xlfn.xlookup(A5,Batting!A:A,Batting!G:G,"")</f>
        <v>119.23</v>
      </c>
      <c r="M5" s="1">
        <f t="array" ref="M5">_xlfn.xlookup(A5,Batting!A:A,Batting!H:H,"")</f>
        <v>51.61</v>
      </c>
      <c r="N5" s="1" t="str">
        <f t="array" ref="N5">_xlfn.xlookup(A5,Bowling!A:A,Bowling!F:F,"")</f>
        <v/>
      </c>
      <c r="O5" s="1" t="str">
        <f t="array" ref="O5">_xlfn.xlookup(A5,Bowling!A:A,Bowling!G:G,"")</f>
        <v/>
      </c>
      <c r="P5" s="1" t="str">
        <f t="array" ref="P5">_xlfn.xlookup(A5,Bowling!A:A,Bowling!H:H,"")</f>
        <v/>
      </c>
      <c r="Q5" s="1" t="str">
        <f t="array" ref="Q5">_xlfn.xlookup(A5,Bowling!A:A,Bowling!I:I,"")</f>
        <v/>
      </c>
    </row>
    <row r="6">
      <c r="A6" s="1" t="s">
        <v>19</v>
      </c>
      <c r="B6" s="1" t="s">
        <v>18</v>
      </c>
      <c r="C6" s="1" t="s">
        <v>20</v>
      </c>
      <c r="D6" s="1">
        <v>2022.0</v>
      </c>
      <c r="E6" s="1">
        <v>3.5</v>
      </c>
      <c r="F6" s="1">
        <v>57.1</v>
      </c>
      <c r="G6" s="1">
        <v>16.31</v>
      </c>
      <c r="H6" s="1">
        <v>4.0</v>
      </c>
      <c r="I6" s="1" t="s">
        <v>12</v>
      </c>
      <c r="J6" s="1">
        <f t="array" ref="J6">_xlfn.xlookup(A6,Batting!A:A,Batting!E:E,"")</f>
        <v>390</v>
      </c>
      <c r="K6" s="1">
        <f t="array" ref="K6">_xlfn.xlookup(A6,Batting!A:A,Batting!F:F,"")</f>
        <v>30</v>
      </c>
      <c r="L6" s="1">
        <f t="array" ref="L6">_xlfn.xlookup(A6,Batting!A:A,Batting!G:G,"")</f>
        <v>125.81</v>
      </c>
      <c r="M6" s="1">
        <f t="array" ref="M6">_xlfn.xlookup(A6,Batting!A:A,Batting!H:H,"")</f>
        <v>55.38</v>
      </c>
      <c r="N6" s="1" t="str">
        <f t="array" ref="N6">_xlfn.xlookup(A6,Bowling!A:A,Bowling!F:F,"")</f>
        <v/>
      </c>
      <c r="O6" s="1" t="str">
        <f t="array" ref="O6">_xlfn.xlookup(A6,Bowling!A:A,Bowling!G:G,"")</f>
        <v/>
      </c>
      <c r="P6" s="1" t="str">
        <f t="array" ref="P6">_xlfn.xlookup(A6,Bowling!A:A,Bowling!H:H,"")</f>
        <v/>
      </c>
      <c r="Q6" s="1" t="str">
        <f t="array" ref="Q6">_xlfn.xlookup(A6,Bowling!A:A,Bowling!I:I,"")</f>
        <v/>
      </c>
    </row>
    <row r="7">
      <c r="A7" s="1" t="s">
        <v>21</v>
      </c>
      <c r="B7" s="1" t="s">
        <v>18</v>
      </c>
      <c r="C7" s="1" t="s">
        <v>22</v>
      </c>
      <c r="D7" s="1">
        <v>2022.0</v>
      </c>
      <c r="E7" s="1">
        <v>6.5</v>
      </c>
      <c r="F7" s="1">
        <v>100.0</v>
      </c>
      <c r="G7" s="1">
        <v>15.38</v>
      </c>
      <c r="H7" s="1">
        <v>1.0</v>
      </c>
      <c r="I7" s="1" t="s">
        <v>12</v>
      </c>
      <c r="J7" s="1">
        <f t="array" ref="J7">_xlfn.xlookup(A7,Batting!A:A,Batting!E:E,"")</f>
        <v>520</v>
      </c>
      <c r="K7" s="1">
        <f t="array" ref="K7">_xlfn.xlookup(A7,Batting!A:A,Batting!F:F,"")</f>
        <v>43.33</v>
      </c>
      <c r="L7" s="1">
        <f t="array" ref="L7">_xlfn.xlookup(A7,Batting!A:A,Batting!G:G,"")</f>
        <v>157.58</v>
      </c>
      <c r="M7" s="1">
        <f t="array" ref="M7">_xlfn.xlookup(A7,Batting!A:A,Batting!H:H,"")</f>
        <v>76.92</v>
      </c>
      <c r="N7" s="1" t="str">
        <f t="array" ref="N7">_xlfn.xlookup(A7,Bowling!A:A,Bowling!F:F,"")</f>
        <v/>
      </c>
      <c r="O7" s="1" t="str">
        <f t="array" ref="O7">_xlfn.xlookup(A7,Bowling!A:A,Bowling!G:G,"")</f>
        <v/>
      </c>
      <c r="P7" s="1" t="str">
        <f t="array" ref="P7">_xlfn.xlookup(A7,Bowling!A:A,Bowling!H:H,"")</f>
        <v/>
      </c>
      <c r="Q7" s="1" t="str">
        <f t="array" ref="Q7">_xlfn.xlookup(A7,Bowling!A:A,Bowling!I:I,"")</f>
        <v/>
      </c>
    </row>
    <row r="8">
      <c r="A8" s="1" t="s">
        <v>23</v>
      </c>
      <c r="B8" s="1" t="s">
        <v>18</v>
      </c>
      <c r="C8" s="1" t="s">
        <v>24</v>
      </c>
      <c r="D8" s="1">
        <v>2022.0</v>
      </c>
      <c r="E8" s="1">
        <v>7.0</v>
      </c>
      <c r="F8" s="1">
        <v>82.9</v>
      </c>
      <c r="G8" s="1">
        <v>11.84</v>
      </c>
      <c r="H8" s="1">
        <v>2.0</v>
      </c>
      <c r="I8" s="1" t="s">
        <v>12</v>
      </c>
      <c r="J8" s="1">
        <f t="array" ref="J8">_xlfn.xlookup(A8,Batting!A:A,Batting!E:E,"")</f>
        <v>430</v>
      </c>
      <c r="K8" s="1">
        <f t="array" ref="K8">_xlfn.xlookup(A8,Batting!A:A,Batting!F:F,"")</f>
        <v>33.08</v>
      </c>
      <c r="L8" s="1">
        <f t="array" ref="L8">_xlfn.xlookup(A8,Batting!A:A,Batting!G:G,"")</f>
        <v>126.47</v>
      </c>
      <c r="M8" s="1">
        <f t="array" ref="M8">_xlfn.xlookup(A8,Batting!A:A,Batting!H:H,"")</f>
        <v>59.53</v>
      </c>
      <c r="N8" s="1" t="str">
        <f t="array" ref="N8">_xlfn.xlookup(A8,Bowling!A:A,Bowling!F:F,"")</f>
        <v/>
      </c>
      <c r="O8" s="1" t="str">
        <f t="array" ref="O8">_xlfn.xlookup(A8,Bowling!A:A,Bowling!G:G,"")</f>
        <v/>
      </c>
      <c r="P8" s="1" t="str">
        <f t="array" ref="P8">_xlfn.xlookup(A8,Bowling!A:A,Bowling!H:H,"")</f>
        <v/>
      </c>
      <c r="Q8" s="1" t="str">
        <f t="array" ref="Q8">_xlfn.xlookup(A8,Bowling!A:A,Bowling!I:I,"")</f>
        <v/>
      </c>
    </row>
    <row r="9">
      <c r="A9" s="1" t="s">
        <v>25</v>
      </c>
      <c r="B9" s="1" t="s">
        <v>26</v>
      </c>
      <c r="C9" s="1" t="s">
        <v>22</v>
      </c>
      <c r="D9" s="1">
        <v>2022.0</v>
      </c>
      <c r="E9" s="1">
        <v>10.0</v>
      </c>
      <c r="F9" s="1">
        <v>64.0</v>
      </c>
      <c r="G9" s="1">
        <v>6.4</v>
      </c>
      <c r="H9" s="1">
        <v>2.0</v>
      </c>
      <c r="I9" s="1" t="s">
        <v>27</v>
      </c>
      <c r="J9" s="1">
        <f t="array" ref="J9">_xlfn.xlookup(A9,Batting!A:A,Batting!E:E,"")</f>
        <v>290</v>
      </c>
      <c r="K9" s="1">
        <f t="array" ref="K9">_xlfn.xlookup(A9,Batting!A:A,Batting!F:F,"")</f>
        <v>22.31</v>
      </c>
      <c r="L9" s="1">
        <f t="array" ref="L9">_xlfn.xlookup(A9,Batting!A:A,Batting!G:G,"")</f>
        <v>126.09</v>
      </c>
      <c r="M9" s="1">
        <f t="array" ref="M9">_xlfn.xlookup(A9,Batting!A:A,Batting!H:H,"")</f>
        <v>57.24</v>
      </c>
      <c r="N9" s="1">
        <f t="array" ref="N9">_xlfn.xlookup(A9,Bowling!A:A,Bowling!F:F,"")</f>
        <v>13</v>
      </c>
      <c r="O9" s="1">
        <f t="array" ref="O9">_xlfn.xlookup(A9,Bowling!A:A,Bowling!G:G,"")</f>
        <v>6.5</v>
      </c>
      <c r="P9" s="1">
        <f t="array" ref="P9">_xlfn.xlookup(A9,Bowling!A:A,Bowling!H:H,"")</f>
        <v>0.93</v>
      </c>
      <c r="Q9" s="1">
        <f t="array" ref="Q9">_xlfn.xlookup(A9,Bowling!A:A,Bowling!I:I,"")</f>
        <v>42.67</v>
      </c>
    </row>
    <row r="10">
      <c r="A10" s="1" t="s">
        <v>28</v>
      </c>
      <c r="B10" s="1" t="s">
        <v>18</v>
      </c>
      <c r="C10" s="1" t="s">
        <v>11</v>
      </c>
      <c r="D10" s="1">
        <v>2022.0</v>
      </c>
      <c r="E10" s="1">
        <v>5.5</v>
      </c>
      <c r="F10" s="1">
        <v>34.3</v>
      </c>
      <c r="G10" s="1">
        <v>6.24</v>
      </c>
      <c r="H10" s="1">
        <v>5.0</v>
      </c>
      <c r="I10" s="1" t="s">
        <v>27</v>
      </c>
      <c r="J10" s="1">
        <f t="array" ref="J10">_xlfn.xlookup(A10,Batting!A:A,Batting!E:E,"")</f>
        <v>360</v>
      </c>
      <c r="K10" s="1">
        <f t="array" ref="K10">_xlfn.xlookup(A10,Batting!A:A,Batting!F:F,"")</f>
        <v>27.69</v>
      </c>
      <c r="L10" s="1">
        <f t="array" ref="L10">_xlfn.xlookup(A10,Batting!A:A,Batting!G:G,"")</f>
        <v>124.14</v>
      </c>
      <c r="M10" s="1">
        <f t="array" ref="M10">_xlfn.xlookup(A10,Batting!A:A,Batting!H:H,"")</f>
        <v>50</v>
      </c>
      <c r="N10" s="1" t="str">
        <f t="array" ref="N10">_xlfn.xlookup(A10,Bowling!A:A,Bowling!F:F,"")</f>
        <v/>
      </c>
      <c r="O10" s="1" t="str">
        <f t="array" ref="O10">_xlfn.xlookup(A10,Bowling!A:A,Bowling!G:G,"")</f>
        <v/>
      </c>
      <c r="P10" s="1" t="str">
        <f t="array" ref="P10">_xlfn.xlookup(A10,Bowling!A:A,Bowling!H:H,"")</f>
        <v/>
      </c>
      <c r="Q10" s="1" t="str">
        <f t="array" ref="Q10">_xlfn.xlookup(A10,Bowling!A:A,Bowling!I:I,"")</f>
        <v/>
      </c>
    </row>
    <row r="11">
      <c r="A11" s="1" t="s">
        <v>29</v>
      </c>
      <c r="B11" s="1" t="s">
        <v>10</v>
      </c>
      <c r="C11" s="1" t="s">
        <v>20</v>
      </c>
      <c r="D11" s="1">
        <v>2022.0</v>
      </c>
      <c r="E11" s="1">
        <v>1.0</v>
      </c>
      <c r="F11" s="1">
        <v>6.0</v>
      </c>
      <c r="G11" s="1">
        <v>6.0</v>
      </c>
      <c r="H11" s="1">
        <v>6.0</v>
      </c>
      <c r="I11" s="1" t="s">
        <v>27</v>
      </c>
      <c r="J11" s="1" t="str">
        <f t="array" ref="J11">_xlfn.xlookup(A11,Batting!A:A,Batting!E:E,"")</f>
        <v/>
      </c>
      <c r="K11" s="1" t="str">
        <f t="array" ref="K11">_xlfn.xlookup(A11,Batting!A:A,Batting!F:F,"")</f>
        <v/>
      </c>
      <c r="L11" s="1" t="str">
        <f t="array" ref="L11">_xlfn.xlookup(A11,Batting!A:A,Batting!G:G,"")</f>
        <v/>
      </c>
      <c r="M11" s="1" t="str">
        <f t="array" ref="M11">_xlfn.xlookup(A11,Batting!A:A,Batting!H:H,"")</f>
        <v/>
      </c>
      <c r="N11" s="1">
        <f t="array" ref="N11">_xlfn.xlookup(A11,Bowling!A:A,Bowling!F:F,"")</f>
        <v>17</v>
      </c>
      <c r="O11" s="1">
        <f t="array" ref="O11">_xlfn.xlookup(A11,Bowling!A:A,Bowling!G:G,"")</f>
        <v>6.25</v>
      </c>
      <c r="P11" s="1">
        <f t="array" ref="P11">_xlfn.xlookup(A11,Bowling!A:A,Bowling!H:H,"")</f>
        <v>1.21</v>
      </c>
      <c r="Q11" s="1">
        <f t="array" ref="Q11">_xlfn.xlookup(A11,Bowling!A:A,Bowling!I:I,"")</f>
        <v>49.68</v>
      </c>
    </row>
    <row r="12">
      <c r="A12" s="1" t="s">
        <v>30</v>
      </c>
      <c r="B12" s="1" t="s">
        <v>10</v>
      </c>
      <c r="C12" s="1" t="s">
        <v>31</v>
      </c>
      <c r="D12" s="1">
        <v>2022.0</v>
      </c>
      <c r="E12" s="1">
        <v>9.0</v>
      </c>
      <c r="F12" s="1">
        <v>52.0</v>
      </c>
      <c r="G12" s="1">
        <v>5.78</v>
      </c>
      <c r="H12" s="1">
        <v>4.0</v>
      </c>
      <c r="I12" s="1" t="s">
        <v>32</v>
      </c>
      <c r="J12" s="1" t="str">
        <f t="array" ref="J12">_xlfn.xlookup(A12,Batting!A:A,Batting!E:E,"")</f>
        <v/>
      </c>
      <c r="K12" s="1" t="str">
        <f t="array" ref="K12">_xlfn.xlookup(A12,Batting!A:A,Batting!F:F,"")</f>
        <v/>
      </c>
      <c r="L12" s="1" t="str">
        <f t="array" ref="L12">_xlfn.xlookup(A12,Batting!A:A,Batting!G:G,"")</f>
        <v/>
      </c>
      <c r="M12" s="1" t="str">
        <f t="array" ref="M12">_xlfn.xlookup(A12,Batting!A:A,Batting!H:H,"")</f>
        <v/>
      </c>
      <c r="N12" s="1">
        <f t="array" ref="N12">_xlfn.xlookup(A12,Bowling!A:A,Bowling!F:F,"")</f>
        <v>20</v>
      </c>
      <c r="O12" s="1">
        <f t="array" ref="O12">_xlfn.xlookup(A12,Bowling!A:A,Bowling!G:G,"")</f>
        <v>5.38</v>
      </c>
      <c r="P12" s="1">
        <f t="array" ref="P12">_xlfn.xlookup(A12,Bowling!A:A,Bowling!H:H,"")</f>
        <v>1.43</v>
      </c>
      <c r="Q12" s="1">
        <f t="array" ref="Q12">_xlfn.xlookup(A12,Bowling!A:A,Bowling!I:I,"")</f>
        <v>56.09</v>
      </c>
    </row>
    <row r="13">
      <c r="A13" s="1" t="s">
        <v>33</v>
      </c>
      <c r="B13" s="1" t="s">
        <v>18</v>
      </c>
      <c r="C13" s="1" t="s">
        <v>20</v>
      </c>
      <c r="D13" s="1">
        <v>2022.0</v>
      </c>
      <c r="E13" s="1">
        <v>14.0</v>
      </c>
      <c r="F13" s="1">
        <v>74.3</v>
      </c>
      <c r="G13" s="1">
        <v>5.31</v>
      </c>
      <c r="H13" s="1">
        <v>3.0</v>
      </c>
      <c r="I13" s="1" t="s">
        <v>32</v>
      </c>
      <c r="J13" s="1">
        <f t="array" ref="J13">_xlfn.xlookup(A13,Batting!A:A,Batting!E:E,"")</f>
        <v>480</v>
      </c>
      <c r="K13" s="1">
        <f t="array" ref="K13">_xlfn.xlookup(A13,Batting!A:A,Batting!F:F,"")</f>
        <v>34.29</v>
      </c>
      <c r="L13" s="1">
        <f t="array" ref="L13">_xlfn.xlookup(A13,Batting!A:A,Batting!G:G,"")</f>
        <v>126.32</v>
      </c>
      <c r="M13" s="1">
        <f t="array" ref="M13">_xlfn.xlookup(A13,Batting!A:A,Batting!H:H,"")</f>
        <v>57.5</v>
      </c>
      <c r="N13" s="1" t="str">
        <f t="array" ref="N13">_xlfn.xlookup(A13,Bowling!A:A,Bowling!F:F,"")</f>
        <v/>
      </c>
      <c r="O13" s="1" t="str">
        <f t="array" ref="O13">_xlfn.xlookup(A13,Bowling!A:A,Bowling!G:G,"")</f>
        <v/>
      </c>
      <c r="P13" s="1" t="str">
        <f t="array" ref="P13">_xlfn.xlookup(A13,Bowling!A:A,Bowling!H:H,"")</f>
        <v/>
      </c>
      <c r="Q13" s="1" t="str">
        <f t="array" ref="Q13">_xlfn.xlookup(A13,Bowling!A:A,Bowling!I:I,"")</f>
        <v/>
      </c>
    </row>
    <row r="14">
      <c r="A14" s="1" t="s">
        <v>34</v>
      </c>
      <c r="B14" s="1" t="s">
        <v>26</v>
      </c>
      <c r="C14" s="1" t="s">
        <v>16</v>
      </c>
      <c r="D14" s="1">
        <v>2022.0</v>
      </c>
      <c r="E14" s="1">
        <v>15.25</v>
      </c>
      <c r="F14" s="1">
        <v>75.0</v>
      </c>
      <c r="G14" s="1">
        <v>4.92</v>
      </c>
      <c r="H14" s="1">
        <v>1.0</v>
      </c>
      <c r="I14" s="1" t="s">
        <v>32</v>
      </c>
      <c r="J14" s="1">
        <f t="array" ref="J14">_xlfn.xlookup(A14,Batting!A:A,Batting!E:E,"")</f>
        <v>310</v>
      </c>
      <c r="K14" s="1">
        <f t="array" ref="K14">_xlfn.xlookup(A14,Batting!A:A,Batting!F:F,"")</f>
        <v>22.14</v>
      </c>
      <c r="L14" s="1">
        <f t="array" ref="L14">_xlfn.xlookup(A14,Batting!A:A,Batting!G:G,"")</f>
        <v>129.17</v>
      </c>
      <c r="M14" s="1">
        <f t="array" ref="M14">_xlfn.xlookup(A14,Batting!A:A,Batting!H:H,"")</f>
        <v>63.23</v>
      </c>
      <c r="N14" s="1">
        <f t="array" ref="N14">_xlfn.xlookup(A14,Bowling!A:A,Bowling!F:F,"")</f>
        <v>14</v>
      </c>
      <c r="O14" s="1">
        <f t="array" ref="O14">_xlfn.xlookup(A14,Bowling!A:A,Bowling!G:G,"")</f>
        <v>6.73</v>
      </c>
      <c r="P14" s="1">
        <f t="array" ref="P14">_xlfn.xlookup(A14,Bowling!A:A,Bowling!H:H,"")</f>
        <v>1</v>
      </c>
      <c r="Q14" s="1">
        <f t="array" ref="Q14">_xlfn.xlookup(A14,Bowling!A:A,Bowling!I:I,"")</f>
        <v>43.27</v>
      </c>
    </row>
    <row r="15">
      <c r="A15" s="1" t="s">
        <v>35</v>
      </c>
      <c r="B15" s="1" t="s">
        <v>18</v>
      </c>
      <c r="C15" s="1" t="s">
        <v>22</v>
      </c>
      <c r="D15" s="1">
        <v>2022.0</v>
      </c>
      <c r="E15" s="1">
        <v>3.0</v>
      </c>
      <c r="F15" s="1">
        <v>14.3</v>
      </c>
      <c r="G15" s="1">
        <v>4.77</v>
      </c>
      <c r="H15" s="1">
        <v>7.0</v>
      </c>
      <c r="I15" s="1" t="s">
        <v>32</v>
      </c>
      <c r="J15" s="1">
        <f t="array" ref="J15">_xlfn.xlookup(A15,Batting!A:A,Batting!E:E,"")</f>
        <v>300</v>
      </c>
      <c r="K15" s="1">
        <f t="array" ref="K15">_xlfn.xlookup(A15,Batting!A:A,Batting!F:F,"")</f>
        <v>25</v>
      </c>
      <c r="L15" s="1">
        <f t="array" ref="L15">_xlfn.xlookup(A15,Batting!A:A,Batting!G:G,"")</f>
        <v>117.65</v>
      </c>
      <c r="M15" s="1">
        <f t="array" ref="M15">_xlfn.xlookup(A15,Batting!A:A,Batting!H:H,"")</f>
        <v>50</v>
      </c>
      <c r="N15" s="1" t="str">
        <f t="array" ref="N15">_xlfn.xlookup(A15,Bowling!A:A,Bowling!F:F,"")</f>
        <v/>
      </c>
      <c r="O15" s="1" t="str">
        <f t="array" ref="O15">_xlfn.xlookup(A15,Bowling!A:A,Bowling!G:G,"")</f>
        <v/>
      </c>
      <c r="P15" s="1" t="str">
        <f t="array" ref="P15">_xlfn.xlookup(A15,Bowling!A:A,Bowling!H:H,"")</f>
        <v/>
      </c>
      <c r="Q15" s="1" t="str">
        <f t="array" ref="Q15">_xlfn.xlookup(A15,Bowling!A:A,Bowling!I:I,"")</f>
        <v/>
      </c>
    </row>
    <row r="16">
      <c r="A16" s="1" t="s">
        <v>36</v>
      </c>
      <c r="B16" s="1" t="s">
        <v>26</v>
      </c>
      <c r="C16" s="1" t="s">
        <v>24</v>
      </c>
      <c r="D16" s="1">
        <v>2022.0</v>
      </c>
      <c r="E16" s="1">
        <v>11.0</v>
      </c>
      <c r="F16" s="1">
        <v>49.0</v>
      </c>
      <c r="G16" s="1">
        <v>4.45</v>
      </c>
      <c r="H16" s="1">
        <v>3.0</v>
      </c>
      <c r="I16" s="1" t="s">
        <v>32</v>
      </c>
      <c r="J16" s="1">
        <f t="array" ref="J16">_xlfn.xlookup(A16,Batting!A:A,Batting!E:E,"")</f>
        <v>280</v>
      </c>
      <c r="K16" s="1">
        <f t="array" ref="K16">_xlfn.xlookup(A16,Batting!A:A,Batting!F:F,"")</f>
        <v>20</v>
      </c>
      <c r="L16" s="1">
        <f t="array" ref="L16">_xlfn.xlookup(A16,Batting!A:A,Batting!G:G,"")</f>
        <v>127.27</v>
      </c>
      <c r="M16" s="1">
        <f t="array" ref="M16">_xlfn.xlookup(A16,Batting!A:A,Batting!H:H,"")</f>
        <v>55.71</v>
      </c>
      <c r="N16" s="1">
        <f t="array" ref="N16">_xlfn.xlookup(A16,Bowling!A:A,Bowling!F:F,"")</f>
        <v>12</v>
      </c>
      <c r="O16" s="1">
        <f t="array" ref="O16">_xlfn.xlookup(A16,Bowling!A:A,Bowling!G:G,"")</f>
        <v>6.46</v>
      </c>
      <c r="P16" s="1">
        <f t="array" ref="P16">_xlfn.xlookup(A16,Bowling!A:A,Bowling!H:H,"")</f>
        <v>0.86</v>
      </c>
      <c r="Q16" s="1">
        <f t="array" ref="Q16">_xlfn.xlookup(A16,Bowling!A:A,Bowling!I:I,"")</f>
        <v>43.4</v>
      </c>
    </row>
    <row r="17">
      <c r="A17" s="1" t="s">
        <v>37</v>
      </c>
      <c r="B17" s="1" t="s">
        <v>26</v>
      </c>
      <c r="C17" s="1" t="s">
        <v>31</v>
      </c>
      <c r="D17" s="1">
        <v>2022.0</v>
      </c>
      <c r="E17" s="1">
        <v>8.5</v>
      </c>
      <c r="F17" s="1">
        <v>34.0</v>
      </c>
      <c r="G17" s="1">
        <v>4.0</v>
      </c>
      <c r="H17" s="1">
        <v>4.0</v>
      </c>
      <c r="I17" s="1" t="s">
        <v>32</v>
      </c>
      <c r="J17" s="1">
        <f t="array" ref="J17">_xlfn.xlookup(A17,Batting!A:A,Batting!E:E,"")</f>
        <v>260</v>
      </c>
      <c r="K17" s="1">
        <f t="array" ref="K17">_xlfn.xlookup(A17,Batting!A:A,Batting!F:F,"")</f>
        <v>20</v>
      </c>
      <c r="L17" s="1">
        <f t="array" ref="L17">_xlfn.xlookup(A17,Batting!A:A,Batting!G:G,"")</f>
        <v>123.81</v>
      </c>
      <c r="M17" s="1">
        <f t="array" ref="M17">_xlfn.xlookup(A17,Batting!A:A,Batting!H:H,"")</f>
        <v>56.92</v>
      </c>
      <c r="N17" s="1">
        <f t="array" ref="N17">_xlfn.xlookup(A17,Bowling!A:A,Bowling!F:F,"")</f>
        <v>11</v>
      </c>
      <c r="O17" s="1">
        <f t="array" ref="O17">_xlfn.xlookup(A17,Bowling!A:A,Bowling!G:G,"")</f>
        <v>6.41</v>
      </c>
      <c r="P17" s="1">
        <f t="array" ref="P17">_xlfn.xlookup(A17,Bowling!A:A,Bowling!H:H,"")</f>
        <v>0.79</v>
      </c>
      <c r="Q17" s="1">
        <f t="array" ref="Q17">_xlfn.xlookup(A17,Bowling!A:A,Bowling!I:I,"")</f>
        <v>42.75</v>
      </c>
    </row>
    <row r="18">
      <c r="A18" s="1" t="s">
        <v>38</v>
      </c>
      <c r="B18" s="1" t="s">
        <v>26</v>
      </c>
      <c r="C18" s="1" t="s">
        <v>20</v>
      </c>
      <c r="D18" s="1">
        <v>2022.0</v>
      </c>
      <c r="E18" s="1">
        <v>8.0</v>
      </c>
      <c r="F18" s="1">
        <v>29.0</v>
      </c>
      <c r="G18" s="1">
        <v>3.62</v>
      </c>
      <c r="H18" s="1">
        <v>5.0</v>
      </c>
      <c r="I18" s="1" t="s">
        <v>39</v>
      </c>
      <c r="J18" s="1">
        <f t="array" ref="J18">_xlfn.xlookup(A18,Batting!A:A,Batting!E:E,"")</f>
        <v>240</v>
      </c>
      <c r="K18" s="1">
        <f t="array" ref="K18">_xlfn.xlookup(A18,Batting!A:A,Batting!F:F,"")</f>
        <v>17.14</v>
      </c>
      <c r="L18" s="1">
        <f t="array" ref="L18">_xlfn.xlookup(A18,Batting!A:A,Batting!G:G,"")</f>
        <v>120</v>
      </c>
      <c r="M18" s="1">
        <f t="array" ref="M18">_xlfn.xlookup(A18,Batting!A:A,Batting!H:H,"")</f>
        <v>55.83</v>
      </c>
      <c r="N18" s="1">
        <f t="array" ref="N18">_xlfn.xlookup(A18,Bowling!A:A,Bowling!F:F,"")</f>
        <v>11</v>
      </c>
      <c r="O18" s="1">
        <f t="array" ref="O18">_xlfn.xlookup(A18,Bowling!A:A,Bowling!G:G,"")</f>
        <v>6.2</v>
      </c>
      <c r="P18" s="1">
        <f t="array" ref="P18">_xlfn.xlookup(A18,Bowling!A:A,Bowling!H:H,"")</f>
        <v>0.79</v>
      </c>
      <c r="Q18" s="1">
        <f t="array" ref="Q18">_xlfn.xlookup(A18,Bowling!A:A,Bowling!I:I,"")</f>
        <v>40.58</v>
      </c>
    </row>
    <row r="19">
      <c r="A19" s="1" t="s">
        <v>40</v>
      </c>
      <c r="B19" s="1" t="s">
        <v>10</v>
      </c>
      <c r="C19" s="1" t="s">
        <v>31</v>
      </c>
      <c r="D19" s="1">
        <v>2022.0</v>
      </c>
      <c r="E19" s="1">
        <v>4.5</v>
      </c>
      <c r="F19" s="1">
        <v>14.0</v>
      </c>
      <c r="G19" s="1">
        <v>3.11</v>
      </c>
      <c r="H19" s="1">
        <v>5.0</v>
      </c>
      <c r="I19" s="1" t="s">
        <v>39</v>
      </c>
      <c r="J19" s="1" t="str">
        <f t="array" ref="J19">_xlfn.xlookup(A19,Batting!A:A,Batting!E:E,"")</f>
        <v/>
      </c>
      <c r="K19" s="1" t="str">
        <f t="array" ref="K19">_xlfn.xlookup(A19,Batting!A:A,Batting!F:F,"")</f>
        <v/>
      </c>
      <c r="L19" s="1" t="str">
        <f t="array" ref="L19">_xlfn.xlookup(A19,Batting!A:A,Batting!G:G,"")</f>
        <v/>
      </c>
      <c r="M19" s="1" t="str">
        <f t="array" ref="M19">_xlfn.xlookup(A19,Batting!A:A,Batting!H:H,"")</f>
        <v/>
      </c>
      <c r="N19" s="1">
        <f t="array" ref="N19">_xlfn.xlookup(A19,Bowling!A:A,Bowling!F:F,"")</f>
        <v>21</v>
      </c>
      <c r="O19" s="1">
        <f t="array" ref="O19">_xlfn.xlookup(A19,Bowling!A:A,Bowling!G:G,"")</f>
        <v>5.92</v>
      </c>
      <c r="P19" s="1">
        <f t="array" ref="P19">_xlfn.xlookup(A19,Bowling!A:A,Bowling!H:H,"")</f>
        <v>1.5</v>
      </c>
      <c r="Q19" s="1">
        <f t="array" ref="Q19">_xlfn.xlookup(A19,Bowling!A:A,Bowling!I:I,"")</f>
        <v>48.61</v>
      </c>
    </row>
    <row r="20">
      <c r="A20" s="1" t="s">
        <v>41</v>
      </c>
      <c r="B20" s="1" t="s">
        <v>26</v>
      </c>
      <c r="C20" s="1" t="s">
        <v>14</v>
      </c>
      <c r="D20" s="1">
        <v>2022.0</v>
      </c>
      <c r="E20" s="1">
        <v>9.0</v>
      </c>
      <c r="F20" s="1">
        <v>15.0</v>
      </c>
      <c r="G20" s="1">
        <v>1.67</v>
      </c>
      <c r="H20" s="1">
        <v>6.0</v>
      </c>
      <c r="I20" s="1" t="s">
        <v>42</v>
      </c>
      <c r="J20" s="1">
        <f t="array" ref="J20">_xlfn.xlookup(A20,Batting!A:A,Batting!E:E,"")</f>
        <v>200</v>
      </c>
      <c r="K20" s="1">
        <f t="array" ref="K20">_xlfn.xlookup(A20,Batting!A:A,Batting!F:F,"")</f>
        <v>15.38</v>
      </c>
      <c r="L20" s="1">
        <f t="array" ref="L20">_xlfn.xlookup(A20,Batting!A:A,Batting!G:G,"")</f>
        <v>117.65</v>
      </c>
      <c r="M20" s="1">
        <f t="array" ref="M20">_xlfn.xlookup(A20,Batting!A:A,Batting!H:H,"")</f>
        <v>57</v>
      </c>
      <c r="N20" s="1">
        <f t="array" ref="N20">_xlfn.xlookup(A20,Bowling!A:A,Bowling!F:F,"")</f>
        <v>10</v>
      </c>
      <c r="O20" s="1">
        <f t="array" ref="O20">_xlfn.xlookup(A20,Bowling!A:A,Bowling!G:G,"")</f>
        <v>6.55</v>
      </c>
      <c r="P20" s="1">
        <f t="array" ref="P20">_xlfn.xlookup(A20,Bowling!A:A,Bowling!H:H,"")</f>
        <v>0.71</v>
      </c>
      <c r="Q20" s="1">
        <f t="array" ref="Q20">_xlfn.xlookup(A20,Bowling!A:A,Bowling!I:I,"")</f>
        <v>42.86</v>
      </c>
    </row>
    <row r="21">
      <c r="A21" s="1" t="s">
        <v>43</v>
      </c>
      <c r="B21" s="1" t="s">
        <v>18</v>
      </c>
      <c r="C21" s="1" t="s">
        <v>16</v>
      </c>
      <c r="D21" s="1">
        <v>2022.0</v>
      </c>
      <c r="E21" s="1">
        <v>2.5</v>
      </c>
      <c r="F21" s="1">
        <v>0.0</v>
      </c>
      <c r="G21" s="1">
        <v>0.0</v>
      </c>
      <c r="H21" s="1">
        <v>8.0</v>
      </c>
      <c r="I21" s="1" t="s">
        <v>42</v>
      </c>
      <c r="J21" s="1">
        <f t="array" ref="J21">_xlfn.xlookup(A21,Batting!A:A,Batting!E:E,"")</f>
        <v>280</v>
      </c>
      <c r="K21" s="1">
        <f t="array" ref="K21">_xlfn.xlookup(A21,Batting!A:A,Batting!F:F,"")</f>
        <v>23.33</v>
      </c>
      <c r="L21" s="1">
        <f t="array" ref="L21">_xlfn.xlookup(A21,Batting!A:A,Batting!G:G,"")</f>
        <v>116.67</v>
      </c>
      <c r="M21" s="1">
        <f t="array" ref="M21">_xlfn.xlookup(A21,Batting!A:A,Batting!H:H,"")</f>
        <v>48.57</v>
      </c>
      <c r="N21" s="1" t="str">
        <f t="array" ref="N21">_xlfn.xlookup(A21,Bowling!A:A,Bowling!F:F,"")</f>
        <v/>
      </c>
      <c r="O21" s="1" t="str">
        <f t="array" ref="O21">_xlfn.xlookup(A21,Bowling!A:A,Bowling!G:G,"")</f>
        <v/>
      </c>
      <c r="P21" s="1" t="str">
        <f t="array" ref="P21">_xlfn.xlookup(A21,Bowling!A:A,Bowling!H:H,"")</f>
        <v/>
      </c>
      <c r="Q21" s="1" t="str">
        <f t="array" ref="Q21">_xlfn.xlookup(A21,Bowling!A:A,Bowling!I:I,"")</f>
        <v/>
      </c>
    </row>
    <row r="22">
      <c r="A22" s="1" t="s">
        <v>9</v>
      </c>
      <c r="B22" s="1" t="s">
        <v>10</v>
      </c>
      <c r="C22" s="1" t="s">
        <v>11</v>
      </c>
      <c r="D22" s="1">
        <v>2023.0</v>
      </c>
      <c r="E22" s="1">
        <v>1.8</v>
      </c>
      <c r="F22" s="1">
        <v>100.0</v>
      </c>
      <c r="G22" s="1">
        <v>55.56</v>
      </c>
      <c r="H22" s="1">
        <v>1.0</v>
      </c>
      <c r="I22" s="1" t="s">
        <v>12</v>
      </c>
      <c r="J22" s="1" t="str">
        <f t="array" ref="J22">_xlfn.xlookup(A22,Batting!A:A,Batting!E:E,"")</f>
        <v/>
      </c>
      <c r="K22" s="1" t="str">
        <f t="array" ref="K22">_xlfn.xlookup(A22,Batting!A:A,Batting!F:F,"")</f>
        <v/>
      </c>
      <c r="L22" s="1" t="str">
        <f t="array" ref="L22">_xlfn.xlookup(A22,Batting!A:A,Batting!G:G,"")</f>
        <v/>
      </c>
      <c r="M22" s="1" t="str">
        <f t="array" ref="M22">_xlfn.xlookup(A22,Batting!A:A,Batting!H:H,"")</f>
        <v/>
      </c>
      <c r="N22" s="1">
        <f t="array" ref="N22">_xlfn.xlookup(A22,Bowling!A:A,Bowling!F:F,"")</f>
        <v>26</v>
      </c>
      <c r="O22" s="1">
        <f t="array" ref="O22">_xlfn.xlookup(A22,Bowling!A:A,Bowling!G:G,"")</f>
        <v>5.09</v>
      </c>
      <c r="P22" s="1">
        <f t="array" ref="P22">_xlfn.xlookup(A22,Bowling!A:A,Bowling!H:H,"")</f>
        <v>1.86</v>
      </c>
      <c r="Q22" s="1">
        <f t="array" ref="Q22">_xlfn.xlookup(A22,Bowling!A:A,Bowling!I:I,"")</f>
        <v>61.78</v>
      </c>
    </row>
    <row r="23">
      <c r="A23" s="1" t="s">
        <v>13</v>
      </c>
      <c r="B23" s="1" t="s">
        <v>10</v>
      </c>
      <c r="C23" s="1" t="s">
        <v>14</v>
      </c>
      <c r="D23" s="1">
        <v>2023.0</v>
      </c>
      <c r="E23" s="1">
        <v>2.0</v>
      </c>
      <c r="F23" s="1">
        <v>68.0</v>
      </c>
      <c r="G23" s="1">
        <v>34.0</v>
      </c>
      <c r="H23" s="1">
        <v>2.0</v>
      </c>
      <c r="I23" s="1" t="s">
        <v>12</v>
      </c>
      <c r="J23" s="1" t="str">
        <f t="array" ref="J23">_xlfn.xlookup(A23,Batting!A:A,Batting!E:E,"")</f>
        <v/>
      </c>
      <c r="K23" s="1" t="str">
        <f t="array" ref="K23">_xlfn.xlookup(A23,Batting!A:A,Batting!F:F,"")</f>
        <v/>
      </c>
      <c r="L23" s="1" t="str">
        <f t="array" ref="L23">_xlfn.xlookup(A23,Batting!A:A,Batting!G:G,"")</f>
        <v/>
      </c>
      <c r="M23" s="1" t="str">
        <f t="array" ref="M23">_xlfn.xlookup(A23,Batting!A:A,Batting!H:H,"")</f>
        <v/>
      </c>
      <c r="N23" s="1">
        <f t="array" ref="N23">_xlfn.xlookup(A23,Bowling!A:A,Bowling!F:F,"")</f>
        <v>25</v>
      </c>
      <c r="O23" s="1">
        <f t="array" ref="O23">_xlfn.xlookup(A23,Bowling!A:A,Bowling!G:G,"")</f>
        <v>5.69</v>
      </c>
      <c r="P23" s="1">
        <f t="array" ref="P23">_xlfn.xlookup(A23,Bowling!A:A,Bowling!H:H,"")</f>
        <v>1.79</v>
      </c>
      <c r="Q23" s="1">
        <f t="array" ref="Q23">_xlfn.xlookup(A23,Bowling!A:A,Bowling!I:I,"")</f>
        <v>60.34</v>
      </c>
    </row>
    <row r="24">
      <c r="A24" s="1" t="s">
        <v>15</v>
      </c>
      <c r="B24" s="1" t="s">
        <v>10</v>
      </c>
      <c r="C24" s="1" t="s">
        <v>16</v>
      </c>
      <c r="D24" s="1">
        <v>2023.0</v>
      </c>
      <c r="E24" s="1">
        <v>2.5</v>
      </c>
      <c r="F24" s="1">
        <v>60.0</v>
      </c>
      <c r="G24" s="1">
        <v>24.0</v>
      </c>
      <c r="H24" s="1">
        <v>3.0</v>
      </c>
      <c r="I24" s="1" t="s">
        <v>12</v>
      </c>
      <c r="J24" s="1" t="str">
        <f t="array" ref="J24">_xlfn.xlookup(A24,Batting!A:A,Batting!E:E,"")</f>
        <v/>
      </c>
      <c r="K24" s="1" t="str">
        <f t="array" ref="K24">_xlfn.xlookup(A24,Batting!A:A,Batting!F:F,"")</f>
        <v/>
      </c>
      <c r="L24" s="1" t="str">
        <f t="array" ref="L24">_xlfn.xlookup(A24,Batting!A:A,Batting!G:G,"")</f>
        <v/>
      </c>
      <c r="M24" s="1" t="str">
        <f t="array" ref="M24">_xlfn.xlookup(A24,Batting!A:A,Batting!H:H,"")</f>
        <v/>
      </c>
      <c r="N24" s="1">
        <f t="array" ref="N24">_xlfn.xlookup(A24,Bowling!A:A,Bowling!F:F,"")</f>
        <v>23</v>
      </c>
      <c r="O24" s="1">
        <f t="array" ref="O24">_xlfn.xlookup(A24,Bowling!A:A,Bowling!G:G,"")</f>
        <v>5.63</v>
      </c>
      <c r="P24" s="1">
        <f t="array" ref="P24">_xlfn.xlookup(A24,Bowling!A:A,Bowling!H:H,"")</f>
        <v>1.64</v>
      </c>
      <c r="Q24" s="1">
        <f t="array" ref="Q24">_xlfn.xlookup(A24,Bowling!A:A,Bowling!I:I,"")</f>
        <v>59.52</v>
      </c>
    </row>
    <row r="25">
      <c r="A25" s="1" t="s">
        <v>19</v>
      </c>
      <c r="B25" s="1" t="s">
        <v>18</v>
      </c>
      <c r="C25" s="1" t="s">
        <v>20</v>
      </c>
      <c r="D25" s="1">
        <v>2023.0</v>
      </c>
      <c r="E25" s="1">
        <v>4.0</v>
      </c>
      <c r="F25" s="1">
        <v>50.0</v>
      </c>
      <c r="G25" s="1">
        <v>12.5</v>
      </c>
      <c r="H25" s="1">
        <v>4.0</v>
      </c>
      <c r="I25" s="1" t="s">
        <v>12</v>
      </c>
      <c r="J25" s="1">
        <f t="array" ref="J25">_xlfn.xlookup(A25,Batting!A:A,Batting!E:E,"")</f>
        <v>390</v>
      </c>
      <c r="K25" s="1">
        <f t="array" ref="K25">_xlfn.xlookup(A25,Batting!A:A,Batting!F:F,"")</f>
        <v>30</v>
      </c>
      <c r="L25" s="1">
        <f t="array" ref="L25">_xlfn.xlookup(A25,Batting!A:A,Batting!G:G,"")</f>
        <v>125.81</v>
      </c>
      <c r="M25" s="1">
        <f t="array" ref="M25">_xlfn.xlookup(A25,Batting!A:A,Batting!H:H,"")</f>
        <v>55.38</v>
      </c>
      <c r="N25" s="1" t="str">
        <f t="array" ref="N25">_xlfn.xlookup(A25,Bowling!A:A,Bowling!F:F,"")</f>
        <v/>
      </c>
      <c r="O25" s="1" t="str">
        <f t="array" ref="O25">_xlfn.xlookup(A25,Bowling!A:A,Bowling!G:G,"")</f>
        <v/>
      </c>
      <c r="P25" s="1" t="str">
        <f t="array" ref="P25">_xlfn.xlookup(A25,Bowling!A:A,Bowling!H:H,"")</f>
        <v/>
      </c>
      <c r="Q25" s="1" t="str">
        <f t="array" ref="Q25">_xlfn.xlookup(A25,Bowling!A:A,Bowling!I:I,"")</f>
        <v/>
      </c>
    </row>
    <row r="26">
      <c r="A26" s="1" t="s">
        <v>21</v>
      </c>
      <c r="B26" s="1" t="s">
        <v>18</v>
      </c>
      <c r="C26" s="1" t="s">
        <v>22</v>
      </c>
      <c r="D26" s="1">
        <v>2023.0</v>
      </c>
      <c r="E26" s="1">
        <v>9.0</v>
      </c>
      <c r="F26" s="1">
        <v>100.0</v>
      </c>
      <c r="G26" s="1">
        <v>11.11</v>
      </c>
      <c r="H26" s="1">
        <v>1.0</v>
      </c>
      <c r="I26" s="1" t="s">
        <v>12</v>
      </c>
      <c r="J26" s="1">
        <f t="array" ref="J26">_xlfn.xlookup(A26,Batting!A:A,Batting!E:E,"")</f>
        <v>520</v>
      </c>
      <c r="K26" s="1">
        <f t="array" ref="K26">_xlfn.xlookup(A26,Batting!A:A,Batting!F:F,"")</f>
        <v>43.33</v>
      </c>
      <c r="L26" s="1">
        <f t="array" ref="L26">_xlfn.xlookup(A26,Batting!A:A,Batting!G:G,"")</f>
        <v>157.58</v>
      </c>
      <c r="M26" s="1">
        <f t="array" ref="M26">_xlfn.xlookup(A26,Batting!A:A,Batting!H:H,"")</f>
        <v>76.92</v>
      </c>
      <c r="N26" s="1" t="str">
        <f t="array" ref="N26">_xlfn.xlookup(A26,Bowling!A:A,Bowling!F:F,"")</f>
        <v/>
      </c>
      <c r="O26" s="1" t="str">
        <f t="array" ref="O26">_xlfn.xlookup(A26,Bowling!A:A,Bowling!G:G,"")</f>
        <v/>
      </c>
      <c r="P26" s="1" t="str">
        <f t="array" ref="P26">_xlfn.xlookup(A26,Bowling!A:A,Bowling!H:H,"")</f>
        <v/>
      </c>
      <c r="Q26" s="1" t="str">
        <f t="array" ref="Q26">_xlfn.xlookup(A26,Bowling!A:A,Bowling!I:I,"")</f>
        <v/>
      </c>
    </row>
    <row r="27">
      <c r="A27" s="1" t="s">
        <v>23</v>
      </c>
      <c r="B27" s="1" t="s">
        <v>18</v>
      </c>
      <c r="C27" s="1" t="s">
        <v>24</v>
      </c>
      <c r="D27" s="1">
        <v>2023.0</v>
      </c>
      <c r="E27" s="1">
        <v>8.0</v>
      </c>
      <c r="F27" s="1">
        <v>82.9</v>
      </c>
      <c r="G27" s="1">
        <v>10.36</v>
      </c>
      <c r="H27" s="1">
        <v>2.0</v>
      </c>
      <c r="I27" s="1" t="s">
        <v>12</v>
      </c>
      <c r="J27" s="1">
        <f t="array" ref="J27">_xlfn.xlookup(A27,Batting!A:A,Batting!E:E,"")</f>
        <v>430</v>
      </c>
      <c r="K27" s="1">
        <f t="array" ref="K27">_xlfn.xlookup(A27,Batting!A:A,Batting!F:F,"")</f>
        <v>33.08</v>
      </c>
      <c r="L27" s="1">
        <f t="array" ref="L27">_xlfn.xlookup(A27,Batting!A:A,Batting!G:G,"")</f>
        <v>126.47</v>
      </c>
      <c r="M27" s="1">
        <f t="array" ref="M27">_xlfn.xlookup(A27,Batting!A:A,Batting!H:H,"")</f>
        <v>59.53</v>
      </c>
      <c r="N27" s="1" t="str">
        <f t="array" ref="N27">_xlfn.xlookup(A27,Bowling!A:A,Bowling!F:F,"")</f>
        <v/>
      </c>
      <c r="O27" s="1" t="str">
        <f t="array" ref="O27">_xlfn.xlookup(A27,Bowling!A:A,Bowling!G:G,"")</f>
        <v/>
      </c>
      <c r="P27" s="1" t="str">
        <f t="array" ref="P27">_xlfn.xlookup(A27,Bowling!A:A,Bowling!H:H,"")</f>
        <v/>
      </c>
      <c r="Q27" s="1" t="str">
        <f t="array" ref="Q27">_xlfn.xlookup(A27,Bowling!A:A,Bowling!I:I,"")</f>
        <v/>
      </c>
    </row>
    <row r="28">
      <c r="A28" s="1" t="s">
        <v>17</v>
      </c>
      <c r="B28" s="1" t="s">
        <v>18</v>
      </c>
      <c r="C28" s="1" t="s">
        <v>14</v>
      </c>
      <c r="D28" s="1">
        <v>2023.0</v>
      </c>
      <c r="E28" s="1">
        <v>3.5</v>
      </c>
      <c r="F28" s="1">
        <v>28.6</v>
      </c>
      <c r="G28" s="1">
        <v>8.17</v>
      </c>
      <c r="H28" s="1">
        <v>6.0</v>
      </c>
      <c r="I28" s="1" t="s">
        <v>12</v>
      </c>
      <c r="J28" s="1">
        <f t="array" ref="J28">_xlfn.xlookup(A28,Batting!A:A,Batting!E:E,"")</f>
        <v>310</v>
      </c>
      <c r="K28" s="1">
        <f t="array" ref="K28">_xlfn.xlookup(A28,Batting!A:A,Batting!F:F,"")</f>
        <v>25.83</v>
      </c>
      <c r="L28" s="1">
        <f t="array" ref="L28">_xlfn.xlookup(A28,Batting!A:A,Batting!G:G,"")</f>
        <v>119.23</v>
      </c>
      <c r="M28" s="1">
        <f t="array" ref="M28">_xlfn.xlookup(A28,Batting!A:A,Batting!H:H,"")</f>
        <v>51.61</v>
      </c>
      <c r="N28" s="1" t="str">
        <f t="array" ref="N28">_xlfn.xlookup(A28,Bowling!A:A,Bowling!F:F,"")</f>
        <v/>
      </c>
      <c r="O28" s="1" t="str">
        <f t="array" ref="O28">_xlfn.xlookup(A28,Bowling!A:A,Bowling!G:G,"")</f>
        <v/>
      </c>
      <c r="P28" s="1" t="str">
        <f t="array" ref="P28">_xlfn.xlookup(A28,Bowling!A:A,Bowling!H:H,"")</f>
        <v/>
      </c>
      <c r="Q28" s="1" t="str">
        <f t="array" ref="Q28">_xlfn.xlookup(A28,Bowling!A:A,Bowling!I:I,"")</f>
        <v/>
      </c>
    </row>
    <row r="29">
      <c r="A29" s="1" t="s">
        <v>28</v>
      </c>
      <c r="B29" s="1" t="s">
        <v>18</v>
      </c>
      <c r="C29" s="1" t="s">
        <v>11</v>
      </c>
      <c r="D29" s="1">
        <v>2023.0</v>
      </c>
      <c r="E29" s="1">
        <v>6.0</v>
      </c>
      <c r="F29" s="1">
        <v>41.4</v>
      </c>
      <c r="G29" s="1">
        <v>6.9</v>
      </c>
      <c r="H29" s="1">
        <v>5.0</v>
      </c>
      <c r="I29" s="1" t="s">
        <v>27</v>
      </c>
      <c r="J29" s="1">
        <f t="array" ref="J29">_xlfn.xlookup(A29,Batting!A:A,Batting!E:E,"")</f>
        <v>360</v>
      </c>
      <c r="K29" s="1">
        <f t="array" ref="K29">_xlfn.xlookup(A29,Batting!A:A,Batting!F:F,"")</f>
        <v>27.69</v>
      </c>
      <c r="L29" s="1">
        <f t="array" ref="L29">_xlfn.xlookup(A29,Batting!A:A,Batting!G:G,"")</f>
        <v>124.14</v>
      </c>
      <c r="M29" s="1">
        <f t="array" ref="M29">_xlfn.xlookup(A29,Batting!A:A,Batting!H:H,"")</f>
        <v>50</v>
      </c>
      <c r="N29" s="1" t="str">
        <f t="array" ref="N29">_xlfn.xlookup(A29,Bowling!A:A,Bowling!F:F,"")</f>
        <v/>
      </c>
      <c r="O29" s="1" t="str">
        <f t="array" ref="O29">_xlfn.xlookup(A29,Bowling!A:A,Bowling!G:G,"")</f>
        <v/>
      </c>
      <c r="P29" s="1" t="str">
        <f t="array" ref="P29">_xlfn.xlookup(A29,Bowling!A:A,Bowling!H:H,"")</f>
        <v/>
      </c>
      <c r="Q29" s="1" t="str">
        <f t="array" ref="Q29">_xlfn.xlookup(A29,Bowling!A:A,Bowling!I:I,"")</f>
        <v/>
      </c>
    </row>
    <row r="30">
      <c r="A30" s="1" t="s">
        <v>35</v>
      </c>
      <c r="B30" s="1" t="s">
        <v>18</v>
      </c>
      <c r="C30" s="1" t="s">
        <v>22</v>
      </c>
      <c r="D30" s="1">
        <v>2023.0</v>
      </c>
      <c r="E30" s="1">
        <v>3.5</v>
      </c>
      <c r="F30" s="1">
        <v>22.9</v>
      </c>
      <c r="G30" s="1">
        <v>6.54</v>
      </c>
      <c r="H30" s="1">
        <v>7.0</v>
      </c>
      <c r="I30" s="1" t="s">
        <v>27</v>
      </c>
      <c r="J30" s="1">
        <f t="array" ref="J30">_xlfn.xlookup(A30,Batting!A:A,Batting!E:E,"")</f>
        <v>300</v>
      </c>
      <c r="K30" s="1">
        <f t="array" ref="K30">_xlfn.xlookup(A30,Batting!A:A,Batting!F:F,"")</f>
        <v>25</v>
      </c>
      <c r="L30" s="1">
        <f t="array" ref="L30">_xlfn.xlookup(A30,Batting!A:A,Batting!G:G,"")</f>
        <v>117.65</v>
      </c>
      <c r="M30" s="1">
        <f t="array" ref="M30">_xlfn.xlookup(A30,Batting!A:A,Batting!H:H,"")</f>
        <v>50</v>
      </c>
      <c r="N30" s="1" t="str">
        <f t="array" ref="N30">_xlfn.xlookup(A30,Bowling!A:A,Bowling!F:F,"")</f>
        <v/>
      </c>
      <c r="O30" s="1" t="str">
        <f t="array" ref="O30">_xlfn.xlookup(A30,Bowling!A:A,Bowling!G:G,"")</f>
        <v/>
      </c>
      <c r="P30" s="1" t="str">
        <f t="array" ref="P30">_xlfn.xlookup(A30,Bowling!A:A,Bowling!H:H,"")</f>
        <v/>
      </c>
      <c r="Q30" s="1" t="str">
        <f t="array" ref="Q30">_xlfn.xlookup(A30,Bowling!A:A,Bowling!I:I,"")</f>
        <v/>
      </c>
    </row>
    <row r="31">
      <c r="A31" s="1" t="s">
        <v>30</v>
      </c>
      <c r="B31" s="1" t="s">
        <v>10</v>
      </c>
      <c r="C31" s="1" t="s">
        <v>31</v>
      </c>
      <c r="D31" s="1">
        <v>2023.0</v>
      </c>
      <c r="E31" s="1">
        <v>7.5</v>
      </c>
      <c r="F31" s="1">
        <v>44.0</v>
      </c>
      <c r="G31" s="1">
        <v>5.87</v>
      </c>
      <c r="H31" s="1">
        <v>4.0</v>
      </c>
      <c r="I31" s="1" t="s">
        <v>32</v>
      </c>
      <c r="J31" s="1" t="str">
        <f t="array" ref="J31">_xlfn.xlookup(A31,Batting!A:A,Batting!E:E,"")</f>
        <v/>
      </c>
      <c r="K31" s="1" t="str">
        <f t="array" ref="K31">_xlfn.xlookup(A31,Batting!A:A,Batting!F:F,"")</f>
        <v/>
      </c>
      <c r="L31" s="1" t="str">
        <f t="array" ref="L31">_xlfn.xlookup(A31,Batting!A:A,Batting!G:G,"")</f>
        <v/>
      </c>
      <c r="M31" s="1" t="str">
        <f t="array" ref="M31">_xlfn.xlookup(A31,Batting!A:A,Batting!H:H,"")</f>
        <v/>
      </c>
      <c r="N31" s="1">
        <f t="array" ref="N31">_xlfn.xlookup(A31,Bowling!A:A,Bowling!F:F,"")</f>
        <v>20</v>
      </c>
      <c r="O31" s="1">
        <f t="array" ref="O31">_xlfn.xlookup(A31,Bowling!A:A,Bowling!G:G,"")</f>
        <v>5.38</v>
      </c>
      <c r="P31" s="1">
        <f t="array" ref="P31">_xlfn.xlookup(A31,Bowling!A:A,Bowling!H:H,"")</f>
        <v>1.43</v>
      </c>
      <c r="Q31" s="1">
        <f t="array" ref="Q31">_xlfn.xlookup(A31,Bowling!A:A,Bowling!I:I,"")</f>
        <v>56.09</v>
      </c>
    </row>
    <row r="32">
      <c r="A32" s="1" t="s">
        <v>29</v>
      </c>
      <c r="B32" s="1" t="s">
        <v>10</v>
      </c>
      <c r="C32" s="1" t="s">
        <v>20</v>
      </c>
      <c r="D32" s="1">
        <v>2023.0</v>
      </c>
      <c r="E32" s="1">
        <v>1.2</v>
      </c>
      <c r="F32" s="1">
        <v>6.0</v>
      </c>
      <c r="G32" s="1">
        <v>5.0</v>
      </c>
      <c r="H32" s="1">
        <v>6.0</v>
      </c>
      <c r="I32" s="1" t="s">
        <v>32</v>
      </c>
      <c r="J32" s="1" t="str">
        <f t="array" ref="J32">_xlfn.xlookup(A32,Batting!A:A,Batting!E:E,"")</f>
        <v/>
      </c>
      <c r="K32" s="1" t="str">
        <f t="array" ref="K32">_xlfn.xlookup(A32,Batting!A:A,Batting!F:F,"")</f>
        <v/>
      </c>
      <c r="L32" s="1" t="str">
        <f t="array" ref="L32">_xlfn.xlookup(A32,Batting!A:A,Batting!G:G,"")</f>
        <v/>
      </c>
      <c r="M32" s="1" t="str">
        <f t="array" ref="M32">_xlfn.xlookup(A32,Batting!A:A,Batting!H:H,"")</f>
        <v/>
      </c>
      <c r="N32" s="1">
        <f t="array" ref="N32">_xlfn.xlookup(A32,Bowling!A:A,Bowling!F:F,"")</f>
        <v>17</v>
      </c>
      <c r="O32" s="1">
        <f t="array" ref="O32">_xlfn.xlookup(A32,Bowling!A:A,Bowling!G:G,"")</f>
        <v>6.25</v>
      </c>
      <c r="P32" s="1">
        <f t="array" ref="P32">_xlfn.xlookup(A32,Bowling!A:A,Bowling!H:H,"")</f>
        <v>1.21</v>
      </c>
      <c r="Q32" s="1">
        <f t="array" ref="Q32">_xlfn.xlookup(A32,Bowling!A:A,Bowling!I:I,"")</f>
        <v>49.68</v>
      </c>
    </row>
    <row r="33">
      <c r="A33" s="1" t="s">
        <v>25</v>
      </c>
      <c r="B33" s="1" t="s">
        <v>26</v>
      </c>
      <c r="C33" s="1" t="s">
        <v>22</v>
      </c>
      <c r="D33" s="1">
        <v>2023.0</v>
      </c>
      <c r="E33" s="1">
        <v>12.0</v>
      </c>
      <c r="F33" s="1">
        <v>60.0</v>
      </c>
      <c r="G33" s="1">
        <v>5.0</v>
      </c>
      <c r="H33" s="1">
        <v>3.0</v>
      </c>
      <c r="I33" s="1" t="s">
        <v>32</v>
      </c>
      <c r="J33" s="1">
        <f t="array" ref="J33">_xlfn.xlookup(A33,Batting!A:A,Batting!E:E,"")</f>
        <v>290</v>
      </c>
      <c r="K33" s="1">
        <f t="array" ref="K33">_xlfn.xlookup(A33,Batting!A:A,Batting!F:F,"")</f>
        <v>22.31</v>
      </c>
      <c r="L33" s="1">
        <f t="array" ref="L33">_xlfn.xlookup(A33,Batting!A:A,Batting!G:G,"")</f>
        <v>126.09</v>
      </c>
      <c r="M33" s="1">
        <f t="array" ref="M33">_xlfn.xlookup(A33,Batting!A:A,Batting!H:H,"")</f>
        <v>57.24</v>
      </c>
      <c r="N33" s="1">
        <f t="array" ref="N33">_xlfn.xlookup(A33,Bowling!A:A,Bowling!F:F,"")</f>
        <v>13</v>
      </c>
      <c r="O33" s="1">
        <f t="array" ref="O33">_xlfn.xlookup(A33,Bowling!A:A,Bowling!G:G,"")</f>
        <v>6.5</v>
      </c>
      <c r="P33" s="1">
        <f t="array" ref="P33">_xlfn.xlookup(A33,Bowling!A:A,Bowling!H:H,"")</f>
        <v>0.93</v>
      </c>
      <c r="Q33" s="1">
        <f t="array" ref="Q33">_xlfn.xlookup(A33,Bowling!A:A,Bowling!I:I,"")</f>
        <v>42.67</v>
      </c>
    </row>
    <row r="34">
      <c r="A34" s="1" t="s">
        <v>36</v>
      </c>
      <c r="B34" s="1" t="s">
        <v>26</v>
      </c>
      <c r="C34" s="1" t="s">
        <v>24</v>
      </c>
      <c r="D34" s="1">
        <v>2023.0</v>
      </c>
      <c r="E34" s="1">
        <v>13.5</v>
      </c>
      <c r="F34" s="1">
        <v>64.0</v>
      </c>
      <c r="G34" s="1">
        <v>4.74</v>
      </c>
      <c r="H34" s="1">
        <v>2.0</v>
      </c>
      <c r="I34" s="1" t="s">
        <v>32</v>
      </c>
      <c r="J34" s="1">
        <f t="array" ref="J34">_xlfn.xlookup(A34,Batting!A:A,Batting!E:E,"")</f>
        <v>280</v>
      </c>
      <c r="K34" s="1">
        <f t="array" ref="K34">_xlfn.xlookup(A34,Batting!A:A,Batting!F:F,"")</f>
        <v>20</v>
      </c>
      <c r="L34" s="1">
        <f t="array" ref="L34">_xlfn.xlookup(A34,Batting!A:A,Batting!G:G,"")</f>
        <v>127.27</v>
      </c>
      <c r="M34" s="1">
        <f t="array" ref="M34">_xlfn.xlookup(A34,Batting!A:A,Batting!H:H,"")</f>
        <v>55.71</v>
      </c>
      <c r="N34" s="1">
        <f t="array" ref="N34">_xlfn.xlookup(A34,Bowling!A:A,Bowling!F:F,"")</f>
        <v>12</v>
      </c>
      <c r="O34" s="1">
        <f t="array" ref="O34">_xlfn.xlookup(A34,Bowling!A:A,Bowling!G:G,"")</f>
        <v>6.46</v>
      </c>
      <c r="P34" s="1">
        <f t="array" ref="P34">_xlfn.xlookup(A34,Bowling!A:A,Bowling!H:H,"")</f>
        <v>0.86</v>
      </c>
      <c r="Q34" s="1">
        <f t="array" ref="Q34">_xlfn.xlookup(A34,Bowling!A:A,Bowling!I:I,"")</f>
        <v>43.4</v>
      </c>
    </row>
    <row r="35">
      <c r="A35" s="1" t="s">
        <v>37</v>
      </c>
      <c r="B35" s="1" t="s">
        <v>26</v>
      </c>
      <c r="C35" s="1" t="s">
        <v>31</v>
      </c>
      <c r="D35" s="1">
        <v>2023.0</v>
      </c>
      <c r="E35" s="1">
        <v>10.0</v>
      </c>
      <c r="F35" s="1">
        <v>46.0</v>
      </c>
      <c r="G35" s="1">
        <v>4.6</v>
      </c>
      <c r="H35" s="1">
        <v>4.0</v>
      </c>
      <c r="I35" s="1" t="s">
        <v>32</v>
      </c>
      <c r="J35" s="1">
        <f t="array" ref="J35">_xlfn.xlookup(A35,Batting!A:A,Batting!E:E,"")</f>
        <v>260</v>
      </c>
      <c r="K35" s="1">
        <f t="array" ref="K35">_xlfn.xlookup(A35,Batting!A:A,Batting!F:F,"")</f>
        <v>20</v>
      </c>
      <c r="L35" s="1">
        <f t="array" ref="L35">_xlfn.xlookup(A35,Batting!A:A,Batting!G:G,"")</f>
        <v>123.81</v>
      </c>
      <c r="M35" s="1">
        <f t="array" ref="M35">_xlfn.xlookup(A35,Batting!A:A,Batting!H:H,"")</f>
        <v>56.92</v>
      </c>
      <c r="N35" s="1">
        <f t="array" ref="N35">_xlfn.xlookup(A35,Bowling!A:A,Bowling!F:F,"")</f>
        <v>11</v>
      </c>
      <c r="O35" s="1">
        <f t="array" ref="O35">_xlfn.xlookup(A35,Bowling!A:A,Bowling!G:G,"")</f>
        <v>6.41</v>
      </c>
      <c r="P35" s="1">
        <f t="array" ref="P35">_xlfn.xlookup(A35,Bowling!A:A,Bowling!H:H,"")</f>
        <v>0.79</v>
      </c>
      <c r="Q35" s="1">
        <f t="array" ref="Q35">_xlfn.xlookup(A35,Bowling!A:A,Bowling!I:I,"")</f>
        <v>42.75</v>
      </c>
    </row>
    <row r="36">
      <c r="A36" s="1" t="s">
        <v>34</v>
      </c>
      <c r="B36" s="1" t="s">
        <v>26</v>
      </c>
      <c r="C36" s="1" t="s">
        <v>16</v>
      </c>
      <c r="D36" s="1">
        <v>2023.0</v>
      </c>
      <c r="E36" s="1">
        <v>17.0</v>
      </c>
      <c r="F36" s="1">
        <v>77.0</v>
      </c>
      <c r="G36" s="1">
        <v>4.53</v>
      </c>
      <c r="H36" s="1">
        <v>1.0</v>
      </c>
      <c r="I36" s="1" t="s">
        <v>32</v>
      </c>
      <c r="J36" s="1">
        <f t="array" ref="J36">_xlfn.xlookup(A36,Batting!A:A,Batting!E:E,"")</f>
        <v>310</v>
      </c>
      <c r="K36" s="1">
        <f t="array" ref="K36">_xlfn.xlookup(A36,Batting!A:A,Batting!F:F,"")</f>
        <v>22.14</v>
      </c>
      <c r="L36" s="1">
        <f t="array" ref="L36">_xlfn.xlookup(A36,Batting!A:A,Batting!G:G,"")</f>
        <v>129.17</v>
      </c>
      <c r="M36" s="1">
        <f t="array" ref="M36">_xlfn.xlookup(A36,Batting!A:A,Batting!H:H,"")</f>
        <v>63.23</v>
      </c>
      <c r="N36" s="1">
        <f t="array" ref="N36">_xlfn.xlookup(A36,Bowling!A:A,Bowling!F:F,"")</f>
        <v>14</v>
      </c>
      <c r="O36" s="1">
        <f t="array" ref="O36">_xlfn.xlookup(A36,Bowling!A:A,Bowling!G:G,"")</f>
        <v>6.73</v>
      </c>
      <c r="P36" s="1">
        <f t="array" ref="P36">_xlfn.xlookup(A36,Bowling!A:A,Bowling!H:H,"")</f>
        <v>1</v>
      </c>
      <c r="Q36" s="1">
        <f t="array" ref="Q36">_xlfn.xlookup(A36,Bowling!A:A,Bowling!I:I,"")</f>
        <v>43.27</v>
      </c>
    </row>
    <row r="37">
      <c r="A37" s="1" t="s">
        <v>33</v>
      </c>
      <c r="B37" s="1" t="s">
        <v>18</v>
      </c>
      <c r="C37" s="1" t="s">
        <v>20</v>
      </c>
      <c r="D37" s="1">
        <v>2023.0</v>
      </c>
      <c r="E37" s="1">
        <v>16.5</v>
      </c>
      <c r="F37" s="1">
        <v>74.3</v>
      </c>
      <c r="G37" s="1">
        <v>4.5</v>
      </c>
      <c r="H37" s="1">
        <v>3.0</v>
      </c>
      <c r="I37" s="1" t="s">
        <v>32</v>
      </c>
      <c r="J37" s="1">
        <f t="array" ref="J37">_xlfn.xlookup(A37,Batting!A:A,Batting!E:E,"")</f>
        <v>480</v>
      </c>
      <c r="K37" s="1">
        <f t="array" ref="K37">_xlfn.xlookup(A37,Batting!A:A,Batting!F:F,"")</f>
        <v>34.29</v>
      </c>
      <c r="L37" s="1">
        <f t="array" ref="L37">_xlfn.xlookup(A37,Batting!A:A,Batting!G:G,"")</f>
        <v>126.32</v>
      </c>
      <c r="M37" s="1">
        <f t="array" ref="M37">_xlfn.xlookup(A37,Batting!A:A,Batting!H:H,"")</f>
        <v>57.5</v>
      </c>
      <c r="N37" s="1" t="str">
        <f t="array" ref="N37">_xlfn.xlookup(A37,Bowling!A:A,Bowling!F:F,"")</f>
        <v/>
      </c>
      <c r="O37" s="1" t="str">
        <f t="array" ref="O37">_xlfn.xlookup(A37,Bowling!A:A,Bowling!G:G,"")</f>
        <v/>
      </c>
      <c r="P37" s="1" t="str">
        <f t="array" ref="P37">_xlfn.xlookup(A37,Bowling!A:A,Bowling!H:H,"")</f>
        <v/>
      </c>
      <c r="Q37" s="1" t="str">
        <f t="array" ref="Q37">_xlfn.xlookup(A37,Bowling!A:A,Bowling!I:I,"")</f>
        <v/>
      </c>
    </row>
    <row r="38">
      <c r="A38" s="1" t="s">
        <v>38</v>
      </c>
      <c r="B38" s="1" t="s">
        <v>26</v>
      </c>
      <c r="C38" s="1" t="s">
        <v>20</v>
      </c>
      <c r="D38" s="1">
        <v>2023.0</v>
      </c>
      <c r="E38" s="1">
        <v>9.5</v>
      </c>
      <c r="F38" s="1">
        <v>33.0</v>
      </c>
      <c r="G38" s="1">
        <v>3.47</v>
      </c>
      <c r="H38" s="1">
        <v>5.0</v>
      </c>
      <c r="I38" s="1" t="s">
        <v>39</v>
      </c>
      <c r="J38" s="1">
        <f t="array" ref="J38">_xlfn.xlookup(A38,Batting!A:A,Batting!E:E,"")</f>
        <v>240</v>
      </c>
      <c r="K38" s="1">
        <f t="array" ref="K38">_xlfn.xlookup(A38,Batting!A:A,Batting!F:F,"")</f>
        <v>17.14</v>
      </c>
      <c r="L38" s="1">
        <f t="array" ref="L38">_xlfn.xlookup(A38,Batting!A:A,Batting!G:G,"")</f>
        <v>120</v>
      </c>
      <c r="M38" s="1">
        <f t="array" ref="M38">_xlfn.xlookup(A38,Batting!A:A,Batting!H:H,"")</f>
        <v>55.83</v>
      </c>
      <c r="N38" s="1">
        <f t="array" ref="N38">_xlfn.xlookup(A38,Bowling!A:A,Bowling!F:F,"")</f>
        <v>11</v>
      </c>
      <c r="O38" s="1">
        <f t="array" ref="O38">_xlfn.xlookup(A38,Bowling!A:A,Bowling!G:G,"")</f>
        <v>6.2</v>
      </c>
      <c r="P38" s="1">
        <f t="array" ref="P38">_xlfn.xlookup(A38,Bowling!A:A,Bowling!H:H,"")</f>
        <v>0.79</v>
      </c>
      <c r="Q38" s="1">
        <f t="array" ref="Q38">_xlfn.xlookup(A38,Bowling!A:A,Bowling!I:I,"")</f>
        <v>40.58</v>
      </c>
    </row>
    <row r="39">
      <c r="A39" s="1" t="s">
        <v>40</v>
      </c>
      <c r="B39" s="1" t="s">
        <v>10</v>
      </c>
      <c r="C39" s="1" t="s">
        <v>31</v>
      </c>
      <c r="D39" s="1">
        <v>2023.0</v>
      </c>
      <c r="E39" s="1">
        <v>6.5</v>
      </c>
      <c r="F39" s="1">
        <v>22.0</v>
      </c>
      <c r="G39" s="1">
        <v>3.38</v>
      </c>
      <c r="H39" s="1">
        <v>5.0</v>
      </c>
      <c r="I39" s="1" t="s">
        <v>39</v>
      </c>
      <c r="J39" s="1" t="str">
        <f t="array" ref="J39">_xlfn.xlookup(A39,Batting!A:A,Batting!E:E,"")</f>
        <v/>
      </c>
      <c r="K39" s="1" t="str">
        <f t="array" ref="K39">_xlfn.xlookup(A39,Batting!A:A,Batting!F:F,"")</f>
        <v/>
      </c>
      <c r="L39" s="1" t="str">
        <f t="array" ref="L39">_xlfn.xlookup(A39,Batting!A:A,Batting!G:G,"")</f>
        <v/>
      </c>
      <c r="M39" s="1" t="str">
        <f t="array" ref="M39">_xlfn.xlookup(A39,Batting!A:A,Batting!H:H,"")</f>
        <v/>
      </c>
      <c r="N39" s="1">
        <f t="array" ref="N39">_xlfn.xlookup(A39,Bowling!A:A,Bowling!F:F,"")</f>
        <v>21</v>
      </c>
      <c r="O39" s="1">
        <f t="array" ref="O39">_xlfn.xlookup(A39,Bowling!A:A,Bowling!G:G,"")</f>
        <v>5.92</v>
      </c>
      <c r="P39" s="1">
        <f t="array" ref="P39">_xlfn.xlookup(A39,Bowling!A:A,Bowling!H:H,"")</f>
        <v>1.5</v>
      </c>
      <c r="Q39" s="1">
        <f t="array" ref="Q39">_xlfn.xlookup(A39,Bowling!A:A,Bowling!I:I,"")</f>
        <v>48.61</v>
      </c>
    </row>
    <row r="40">
      <c r="A40" s="1" t="s">
        <v>41</v>
      </c>
      <c r="B40" s="1" t="s">
        <v>26</v>
      </c>
      <c r="C40" s="1" t="s">
        <v>14</v>
      </c>
      <c r="D40" s="1">
        <v>2023.0</v>
      </c>
      <c r="E40" s="1">
        <v>11.0</v>
      </c>
      <c r="F40" s="1">
        <v>16.0</v>
      </c>
      <c r="G40" s="1">
        <v>1.45</v>
      </c>
      <c r="H40" s="1">
        <v>6.0</v>
      </c>
      <c r="I40" s="1" t="s">
        <v>42</v>
      </c>
      <c r="J40" s="1">
        <f t="array" ref="J40">_xlfn.xlookup(A40,Batting!A:A,Batting!E:E,"")</f>
        <v>200</v>
      </c>
      <c r="K40" s="1">
        <f t="array" ref="K40">_xlfn.xlookup(A40,Batting!A:A,Batting!F:F,"")</f>
        <v>15.38</v>
      </c>
      <c r="L40" s="1">
        <f t="array" ref="L40">_xlfn.xlookup(A40,Batting!A:A,Batting!G:G,"")</f>
        <v>117.65</v>
      </c>
      <c r="M40" s="1">
        <f t="array" ref="M40">_xlfn.xlookup(A40,Batting!A:A,Batting!H:H,"")</f>
        <v>57</v>
      </c>
      <c r="N40" s="1">
        <f t="array" ref="N40">_xlfn.xlookup(A40,Bowling!A:A,Bowling!F:F,"")</f>
        <v>10</v>
      </c>
      <c r="O40" s="1">
        <f t="array" ref="O40">_xlfn.xlookup(A40,Bowling!A:A,Bowling!G:G,"")</f>
        <v>6.55</v>
      </c>
      <c r="P40" s="1">
        <f t="array" ref="P40">_xlfn.xlookup(A40,Bowling!A:A,Bowling!H:H,"")</f>
        <v>0.71</v>
      </c>
      <c r="Q40" s="1">
        <f t="array" ref="Q40">_xlfn.xlookup(A40,Bowling!A:A,Bowling!I:I,"")</f>
        <v>42.86</v>
      </c>
    </row>
    <row r="41">
      <c r="A41" s="1" t="s">
        <v>43</v>
      </c>
      <c r="B41" s="1" t="s">
        <v>18</v>
      </c>
      <c r="C41" s="1" t="s">
        <v>16</v>
      </c>
      <c r="D41" s="1">
        <v>2023.0</v>
      </c>
      <c r="E41" s="1">
        <v>4.0</v>
      </c>
      <c r="F41" s="1">
        <v>0.0</v>
      </c>
      <c r="G41" s="1">
        <v>0.0</v>
      </c>
      <c r="H41" s="1">
        <v>8.0</v>
      </c>
      <c r="I41" s="1" t="s">
        <v>42</v>
      </c>
      <c r="J41" s="1">
        <f t="array" ref="J41">_xlfn.xlookup(A41,Batting!A:A,Batting!E:E,"")</f>
        <v>280</v>
      </c>
      <c r="K41" s="1">
        <f t="array" ref="K41">_xlfn.xlookup(A41,Batting!A:A,Batting!F:F,"")</f>
        <v>23.33</v>
      </c>
      <c r="L41" s="1">
        <f t="array" ref="L41">_xlfn.xlookup(A41,Batting!A:A,Batting!G:G,"")</f>
        <v>116.67</v>
      </c>
      <c r="M41" s="1">
        <f t="array" ref="M41">_xlfn.xlookup(A41,Batting!A:A,Batting!H:H,"")</f>
        <v>48.57</v>
      </c>
      <c r="N41" s="1" t="str">
        <f t="array" ref="N41">_xlfn.xlookup(A41,Bowling!A:A,Bowling!F:F,"")</f>
        <v/>
      </c>
      <c r="O41" s="1" t="str">
        <f t="array" ref="O41">_xlfn.xlookup(A41,Bowling!A:A,Bowling!G:G,"")</f>
        <v/>
      </c>
      <c r="P41" s="1" t="str">
        <f t="array" ref="P41">_xlfn.xlookup(A41,Bowling!A:A,Bowling!H:H,"")</f>
        <v/>
      </c>
      <c r="Q41" s="1" t="str">
        <f t="array" ref="Q41">_xlfn.xlookup(A41,Bowling!A:A,Bowling!I:I,"")</f>
        <v/>
      </c>
    </row>
  </sheetData>
  <customSheetViews>
    <customSheetView guid="{2633E81B-C241-4F83-BA97-7F3E629AD7DB}" filter="1" showAutoFilter="1">
      <autoFilter ref="$A$1:$Q$41"/>
    </customSheetView>
  </customSheetView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c r="A22" s="11"/>
      <c r="B22" s="12"/>
      <c r="C22" s="12"/>
      <c r="D22" s="13"/>
      <c r="E22" s="13"/>
      <c r="F22" s="1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extLst>
    <ext uri="{3A4CF648-6AED-40f4-86FF-DC5316D8AED3}">
      <x14:slicerList>
        <x14:slicer r:id="rId3"/>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7</v>
      </c>
      <c r="H1" s="1" t="s">
        <v>6</v>
      </c>
      <c r="I1" s="1" t="s">
        <v>8</v>
      </c>
      <c r="J1" s="1" t="s">
        <v>44</v>
      </c>
      <c r="K1" s="1" t="s">
        <v>45</v>
      </c>
      <c r="L1" s="1" t="s">
        <v>46</v>
      </c>
      <c r="M1" s="1" t="s">
        <v>47</v>
      </c>
      <c r="N1" s="1" t="s">
        <v>48</v>
      </c>
      <c r="O1" s="1" t="s">
        <v>49</v>
      </c>
      <c r="P1" s="1" t="s">
        <v>50</v>
      </c>
      <c r="Q1" s="1" t="s">
        <v>51</v>
      </c>
    </row>
    <row r="2" ht="15.75" customHeight="1">
      <c r="A2" s="1" t="s">
        <v>9</v>
      </c>
      <c r="B2" s="1" t="s">
        <v>10</v>
      </c>
      <c r="C2" s="1" t="s">
        <v>11</v>
      </c>
      <c r="D2" s="1">
        <v>2023.0</v>
      </c>
      <c r="E2" s="1">
        <v>1.8</v>
      </c>
      <c r="F2" s="1">
        <v>100.0</v>
      </c>
      <c r="G2" s="1">
        <v>55.56</v>
      </c>
      <c r="H2" s="1">
        <v>1.0</v>
      </c>
      <c r="I2" s="1" t="s">
        <v>12</v>
      </c>
      <c r="J2" s="1" t="str">
        <f t="array" ref="J2">_xlfn.xlookup(A2,Batting!A:A,Batting!E:E,"")</f>
        <v/>
      </c>
      <c r="K2" s="1" t="str">
        <f t="array" ref="K2">_xlfn.xlookup(A2,Batting!A:A,Batting!F:F,"")</f>
        <v/>
      </c>
      <c r="L2" s="1" t="str">
        <f t="array" ref="L2">_xlfn.xlookup(A2,Batting!A:A,Batting!G:G,"")</f>
        <v/>
      </c>
      <c r="M2" s="1" t="str">
        <f t="array" ref="M2">_xlfn.xlookup(A2,Batting!A:A,Batting!H:H,"")</f>
        <v/>
      </c>
      <c r="N2" s="1">
        <f t="array" ref="N2">_xlfn.xlookup(A2,Bowling!A:A,Bowling!F:F,"")</f>
        <v>26</v>
      </c>
      <c r="O2" s="1">
        <f t="array" ref="O2">_xlfn.xlookup(A2,Bowling!A:A,Bowling!G:G,"")</f>
        <v>5.09</v>
      </c>
      <c r="P2" s="1">
        <f t="array" ref="P2">_xlfn.xlookup(A2,Bowling!A:A,Bowling!H:H,"")</f>
        <v>1.86</v>
      </c>
      <c r="Q2" s="1">
        <f t="array" ref="Q2">_xlfn.xlookup(A2,Bowling!A:A,Bowling!I:I,"")</f>
        <v>61.78</v>
      </c>
    </row>
    <row r="3" ht="15.75" customHeight="1">
      <c r="A3" s="1" t="s">
        <v>13</v>
      </c>
      <c r="B3" s="1" t="s">
        <v>10</v>
      </c>
      <c r="C3" s="1" t="s">
        <v>14</v>
      </c>
      <c r="D3" s="1">
        <v>2023.0</v>
      </c>
      <c r="E3" s="1">
        <v>2.0</v>
      </c>
      <c r="F3" s="1">
        <v>68.0</v>
      </c>
      <c r="G3" s="1">
        <v>34.0</v>
      </c>
      <c r="H3" s="1">
        <v>2.0</v>
      </c>
      <c r="I3" s="1" t="s">
        <v>12</v>
      </c>
      <c r="J3" s="1" t="str">
        <f t="array" ref="J3">_xlfn.xlookup(A3,Batting!A:A,Batting!E:E,"")</f>
        <v/>
      </c>
      <c r="K3" s="1" t="str">
        <f t="array" ref="K3">_xlfn.xlookup(A3,Batting!A:A,Batting!F:F,"")</f>
        <v/>
      </c>
      <c r="L3" s="1" t="str">
        <f t="array" ref="L3">_xlfn.xlookup(A3,Batting!A:A,Batting!G:G,"")</f>
        <v/>
      </c>
      <c r="M3" s="1" t="str">
        <f t="array" ref="M3">_xlfn.xlookup(A3,Batting!A:A,Batting!H:H,"")</f>
        <v/>
      </c>
      <c r="N3" s="1">
        <f t="array" ref="N3">_xlfn.xlookup(A3,Bowling!A:A,Bowling!F:F,"")</f>
        <v>25</v>
      </c>
      <c r="O3" s="1">
        <f t="array" ref="O3">_xlfn.xlookup(A3,Bowling!A:A,Bowling!G:G,"")</f>
        <v>5.69</v>
      </c>
      <c r="P3" s="1">
        <f t="array" ref="P3">_xlfn.xlookup(A3,Bowling!A:A,Bowling!H:H,"")</f>
        <v>1.79</v>
      </c>
      <c r="Q3" s="1">
        <f t="array" ref="Q3">_xlfn.xlookup(A3,Bowling!A:A,Bowling!I:I,"")</f>
        <v>60.34</v>
      </c>
    </row>
    <row r="4" ht="15.75" customHeight="1">
      <c r="A4" s="1" t="s">
        <v>15</v>
      </c>
      <c r="B4" s="1" t="s">
        <v>10</v>
      </c>
      <c r="C4" s="1" t="s">
        <v>16</v>
      </c>
      <c r="D4" s="1">
        <v>2023.0</v>
      </c>
      <c r="E4" s="1">
        <v>2.5</v>
      </c>
      <c r="F4" s="1">
        <v>60.0</v>
      </c>
      <c r="G4" s="1">
        <v>24.0</v>
      </c>
      <c r="H4" s="1">
        <v>3.0</v>
      </c>
      <c r="I4" s="1" t="s">
        <v>12</v>
      </c>
      <c r="J4" s="1" t="str">
        <f t="array" ref="J4">_xlfn.xlookup(A4,Batting!A:A,Batting!E:E,"")</f>
        <v/>
      </c>
      <c r="K4" s="1" t="str">
        <f t="array" ref="K4">_xlfn.xlookup(A4,Batting!A:A,Batting!F:F,"")</f>
        <v/>
      </c>
      <c r="L4" s="1" t="str">
        <f t="array" ref="L4">_xlfn.xlookup(A4,Batting!A:A,Batting!G:G,"")</f>
        <v/>
      </c>
      <c r="M4" s="1" t="str">
        <f t="array" ref="M4">_xlfn.xlookup(A4,Batting!A:A,Batting!H:H,"")</f>
        <v/>
      </c>
      <c r="N4" s="1">
        <f t="array" ref="N4">_xlfn.xlookup(A4,Bowling!A:A,Bowling!F:F,"")</f>
        <v>23</v>
      </c>
      <c r="O4" s="1">
        <f t="array" ref="O4">_xlfn.xlookup(A4,Bowling!A:A,Bowling!G:G,"")</f>
        <v>5.63</v>
      </c>
      <c r="P4" s="1">
        <f t="array" ref="P4">_xlfn.xlookup(A4,Bowling!A:A,Bowling!H:H,"")</f>
        <v>1.64</v>
      </c>
      <c r="Q4" s="1">
        <f t="array" ref="Q4">_xlfn.xlookup(A4,Bowling!A:A,Bowling!I:I,"")</f>
        <v>59.52</v>
      </c>
    </row>
    <row r="5" ht="15.75" customHeight="1">
      <c r="A5" s="1" t="s">
        <v>19</v>
      </c>
      <c r="B5" s="1" t="s">
        <v>18</v>
      </c>
      <c r="C5" s="1" t="s">
        <v>20</v>
      </c>
      <c r="D5" s="1">
        <v>2023.0</v>
      </c>
      <c r="E5" s="1">
        <v>4.0</v>
      </c>
      <c r="F5" s="1">
        <v>50.0</v>
      </c>
      <c r="G5" s="1">
        <v>12.5</v>
      </c>
      <c r="H5" s="1">
        <v>4.0</v>
      </c>
      <c r="I5" s="1" t="s">
        <v>12</v>
      </c>
      <c r="J5" s="1">
        <f t="array" ref="J5">_xlfn.xlookup(A5,Batting!A:A,Batting!E:E,"")</f>
        <v>390</v>
      </c>
      <c r="K5" s="1">
        <f t="array" ref="K5">_xlfn.xlookup(A5,Batting!A:A,Batting!F:F,"")</f>
        <v>30</v>
      </c>
      <c r="L5" s="1">
        <f t="array" ref="L5">_xlfn.xlookup(A5,Batting!A:A,Batting!G:G,"")</f>
        <v>125.81</v>
      </c>
      <c r="M5" s="1">
        <f t="array" ref="M5">_xlfn.xlookup(A5,Batting!A:A,Batting!H:H,"")</f>
        <v>55.38</v>
      </c>
      <c r="N5" s="1" t="str">
        <f t="array" ref="N5">_xlfn.xlookup(A5,Bowling!A:A,Bowling!F:F,"")</f>
        <v/>
      </c>
      <c r="O5" s="1" t="str">
        <f t="array" ref="O5">_xlfn.xlookup(A5,Bowling!A:A,Bowling!G:G,"")</f>
        <v/>
      </c>
      <c r="P5" s="1" t="str">
        <f t="array" ref="P5">_xlfn.xlookup(A5,Bowling!A:A,Bowling!H:H,"")</f>
        <v/>
      </c>
      <c r="Q5" s="1" t="str">
        <f t="array" ref="Q5">_xlfn.xlookup(A5,Bowling!A:A,Bowling!I:I,"")</f>
        <v/>
      </c>
    </row>
    <row r="6" ht="15.75" customHeight="1">
      <c r="A6" s="1" t="s">
        <v>21</v>
      </c>
      <c r="B6" s="1" t="s">
        <v>18</v>
      </c>
      <c r="C6" s="1" t="s">
        <v>22</v>
      </c>
      <c r="D6" s="1">
        <v>2023.0</v>
      </c>
      <c r="E6" s="1">
        <v>9.0</v>
      </c>
      <c r="F6" s="1">
        <v>100.0</v>
      </c>
      <c r="G6" s="1">
        <v>11.11</v>
      </c>
      <c r="H6" s="1">
        <v>1.0</v>
      </c>
      <c r="I6" s="1" t="s">
        <v>12</v>
      </c>
      <c r="J6" s="1">
        <f t="array" ref="J6">_xlfn.xlookup(A6,Batting!A:A,Batting!E:E,"")</f>
        <v>520</v>
      </c>
      <c r="K6" s="1">
        <f t="array" ref="K6">_xlfn.xlookup(A6,Batting!A:A,Batting!F:F,"")</f>
        <v>43.33</v>
      </c>
      <c r="L6" s="1">
        <f t="array" ref="L6">_xlfn.xlookup(A6,Batting!A:A,Batting!G:G,"")</f>
        <v>157.58</v>
      </c>
      <c r="M6" s="1">
        <f t="array" ref="M6">_xlfn.xlookup(A6,Batting!A:A,Batting!H:H,"")</f>
        <v>76.92</v>
      </c>
      <c r="N6" s="1" t="str">
        <f t="array" ref="N6">_xlfn.xlookup(A6,Bowling!A:A,Bowling!F:F,"")</f>
        <v/>
      </c>
      <c r="O6" s="1" t="str">
        <f t="array" ref="O6">_xlfn.xlookup(A6,Bowling!A:A,Bowling!G:G,"")</f>
        <v/>
      </c>
      <c r="P6" s="1" t="str">
        <f t="array" ref="P6">_xlfn.xlookup(A6,Bowling!A:A,Bowling!H:H,"")</f>
        <v/>
      </c>
      <c r="Q6" s="1" t="str">
        <f t="array" ref="Q6">_xlfn.xlookup(A6,Bowling!A:A,Bowling!I:I,"")</f>
        <v/>
      </c>
    </row>
    <row r="7" ht="15.75" customHeight="1">
      <c r="A7" s="1" t="s">
        <v>23</v>
      </c>
      <c r="B7" s="1" t="s">
        <v>18</v>
      </c>
      <c r="C7" s="1" t="s">
        <v>24</v>
      </c>
      <c r="D7" s="1">
        <v>2023.0</v>
      </c>
      <c r="E7" s="1">
        <v>8.0</v>
      </c>
      <c r="F7" s="1">
        <v>82.9</v>
      </c>
      <c r="G7" s="1">
        <v>10.36</v>
      </c>
      <c r="H7" s="1">
        <v>2.0</v>
      </c>
      <c r="I7" s="1" t="s">
        <v>12</v>
      </c>
      <c r="J7" s="1">
        <f t="array" ref="J7">_xlfn.xlookup(A7,Batting!A:A,Batting!E:E,"")</f>
        <v>430</v>
      </c>
      <c r="K7" s="1">
        <f t="array" ref="K7">_xlfn.xlookup(A7,Batting!A:A,Batting!F:F,"")</f>
        <v>33.08</v>
      </c>
      <c r="L7" s="1">
        <f t="array" ref="L7">_xlfn.xlookup(A7,Batting!A:A,Batting!G:G,"")</f>
        <v>126.47</v>
      </c>
      <c r="M7" s="1">
        <f t="array" ref="M7">_xlfn.xlookup(A7,Batting!A:A,Batting!H:H,"")</f>
        <v>59.53</v>
      </c>
      <c r="N7" s="1" t="str">
        <f t="array" ref="N7">_xlfn.xlookup(A7,Bowling!A:A,Bowling!F:F,"")</f>
        <v/>
      </c>
      <c r="O7" s="1" t="str">
        <f t="array" ref="O7">_xlfn.xlookup(A7,Bowling!A:A,Bowling!G:G,"")</f>
        <v/>
      </c>
      <c r="P7" s="1" t="str">
        <f t="array" ref="P7">_xlfn.xlookup(A7,Bowling!A:A,Bowling!H:H,"")</f>
        <v/>
      </c>
      <c r="Q7" s="1" t="str">
        <f t="array" ref="Q7">_xlfn.xlookup(A7,Bowling!A:A,Bowling!I:I,"")</f>
        <v/>
      </c>
    </row>
    <row r="8" ht="15.75" customHeight="1">
      <c r="A8" s="1" t="s">
        <v>17</v>
      </c>
      <c r="B8" s="1" t="s">
        <v>18</v>
      </c>
      <c r="C8" s="1" t="s">
        <v>14</v>
      </c>
      <c r="D8" s="1">
        <v>2023.0</v>
      </c>
      <c r="E8" s="1">
        <v>3.5</v>
      </c>
      <c r="F8" s="1">
        <v>28.6</v>
      </c>
      <c r="G8" s="1">
        <v>8.17</v>
      </c>
      <c r="H8" s="1">
        <v>6.0</v>
      </c>
      <c r="I8" s="1" t="s">
        <v>12</v>
      </c>
      <c r="J8" s="1">
        <f t="array" ref="J8">_xlfn.xlookup(A8,Batting!A:A,Batting!E:E,"")</f>
        <v>310</v>
      </c>
      <c r="K8" s="1">
        <f t="array" ref="K8">_xlfn.xlookup(A8,Batting!A:A,Batting!F:F,"")</f>
        <v>25.83</v>
      </c>
      <c r="L8" s="1">
        <f t="array" ref="L8">_xlfn.xlookup(A8,Batting!A:A,Batting!G:G,"")</f>
        <v>119.23</v>
      </c>
      <c r="M8" s="1">
        <f t="array" ref="M8">_xlfn.xlookup(A8,Batting!A:A,Batting!H:H,"")</f>
        <v>51.61</v>
      </c>
      <c r="N8" s="1" t="str">
        <f t="array" ref="N8">_xlfn.xlookup(A8,Bowling!A:A,Bowling!F:F,"")</f>
        <v/>
      </c>
      <c r="O8" s="1" t="str">
        <f t="array" ref="O8">_xlfn.xlookup(A8,Bowling!A:A,Bowling!G:G,"")</f>
        <v/>
      </c>
      <c r="P8" s="1" t="str">
        <f t="array" ref="P8">_xlfn.xlookup(A8,Bowling!A:A,Bowling!H:H,"")</f>
        <v/>
      </c>
      <c r="Q8" s="1" t="str">
        <f t="array" ref="Q8">_xlfn.xlookup(A8,Bowling!A:A,Bowling!I:I,"")</f>
        <v/>
      </c>
    </row>
    <row r="9" ht="15.75" customHeight="1">
      <c r="A9" s="1" t="s">
        <v>28</v>
      </c>
      <c r="B9" s="1" t="s">
        <v>18</v>
      </c>
      <c r="C9" s="1" t="s">
        <v>11</v>
      </c>
      <c r="D9" s="1">
        <v>2023.0</v>
      </c>
      <c r="E9" s="1">
        <v>6.0</v>
      </c>
      <c r="F9" s="1">
        <v>41.4</v>
      </c>
      <c r="G9" s="1">
        <v>6.9</v>
      </c>
      <c r="H9" s="1">
        <v>5.0</v>
      </c>
      <c r="I9" s="1" t="s">
        <v>27</v>
      </c>
      <c r="J9" s="1">
        <f t="array" ref="J9">_xlfn.xlookup(A9,Batting!A:A,Batting!E:E,"")</f>
        <v>360</v>
      </c>
      <c r="K9" s="1">
        <f t="array" ref="K9">_xlfn.xlookup(A9,Batting!A:A,Batting!F:F,"")</f>
        <v>27.69</v>
      </c>
      <c r="L9" s="1">
        <f t="array" ref="L9">_xlfn.xlookup(A9,Batting!A:A,Batting!G:G,"")</f>
        <v>124.14</v>
      </c>
      <c r="M9" s="1">
        <f t="array" ref="M9">_xlfn.xlookup(A9,Batting!A:A,Batting!H:H,"")</f>
        <v>50</v>
      </c>
      <c r="N9" s="1" t="str">
        <f t="array" ref="N9">_xlfn.xlookup(A9,Bowling!A:A,Bowling!F:F,"")</f>
        <v/>
      </c>
      <c r="O9" s="1" t="str">
        <f t="array" ref="O9">_xlfn.xlookup(A9,Bowling!A:A,Bowling!G:G,"")</f>
        <v/>
      </c>
      <c r="P9" s="1" t="str">
        <f t="array" ref="P9">_xlfn.xlookup(A9,Bowling!A:A,Bowling!H:H,"")</f>
        <v/>
      </c>
      <c r="Q9" s="1" t="str">
        <f t="array" ref="Q9">_xlfn.xlookup(A9,Bowling!A:A,Bowling!I:I,"")</f>
        <v/>
      </c>
    </row>
    <row r="10" ht="15.75" customHeight="1">
      <c r="A10" s="1" t="s">
        <v>35</v>
      </c>
      <c r="B10" s="1" t="s">
        <v>18</v>
      </c>
      <c r="C10" s="1" t="s">
        <v>22</v>
      </c>
      <c r="D10" s="1">
        <v>2023.0</v>
      </c>
      <c r="E10" s="1">
        <v>3.5</v>
      </c>
      <c r="F10" s="1">
        <v>22.9</v>
      </c>
      <c r="G10" s="1">
        <v>6.54</v>
      </c>
      <c r="H10" s="1">
        <v>7.0</v>
      </c>
      <c r="I10" s="1" t="s">
        <v>27</v>
      </c>
      <c r="J10" s="1">
        <f t="array" ref="J10">_xlfn.xlookup(A10,Batting!A:A,Batting!E:E,"")</f>
        <v>300</v>
      </c>
      <c r="K10" s="1">
        <f t="array" ref="K10">_xlfn.xlookup(A10,Batting!A:A,Batting!F:F,"")</f>
        <v>25</v>
      </c>
      <c r="L10" s="1">
        <f t="array" ref="L10">_xlfn.xlookup(A10,Batting!A:A,Batting!G:G,"")</f>
        <v>117.65</v>
      </c>
      <c r="M10" s="1">
        <f t="array" ref="M10">_xlfn.xlookup(A10,Batting!A:A,Batting!H:H,"")</f>
        <v>50</v>
      </c>
      <c r="N10" s="1" t="str">
        <f t="array" ref="N10">_xlfn.xlookup(A10,Bowling!A:A,Bowling!F:F,"")</f>
        <v/>
      </c>
      <c r="O10" s="1" t="str">
        <f t="array" ref="O10">_xlfn.xlookup(A10,Bowling!A:A,Bowling!G:G,"")</f>
        <v/>
      </c>
      <c r="P10" s="1" t="str">
        <f t="array" ref="P10">_xlfn.xlookup(A10,Bowling!A:A,Bowling!H:H,"")</f>
        <v/>
      </c>
      <c r="Q10" s="1" t="str">
        <f t="array" ref="Q10">_xlfn.xlookup(A10,Bowling!A:A,Bowling!I:I,"")</f>
        <v/>
      </c>
    </row>
    <row r="11" ht="15.75" customHeight="1">
      <c r="A11" s="1" t="s">
        <v>30</v>
      </c>
      <c r="B11" s="1" t="s">
        <v>10</v>
      </c>
      <c r="C11" s="1" t="s">
        <v>31</v>
      </c>
      <c r="D11" s="1">
        <v>2023.0</v>
      </c>
      <c r="E11" s="1">
        <v>7.5</v>
      </c>
      <c r="F11" s="1">
        <v>44.0</v>
      </c>
      <c r="G11" s="1">
        <v>5.87</v>
      </c>
      <c r="H11" s="1">
        <v>4.0</v>
      </c>
      <c r="I11" s="1" t="s">
        <v>32</v>
      </c>
      <c r="J11" s="1" t="str">
        <f t="array" ref="J11">_xlfn.xlookup(A11,Batting!A:A,Batting!E:E,"")</f>
        <v/>
      </c>
      <c r="K11" s="1" t="str">
        <f t="array" ref="K11">_xlfn.xlookup(A11,Batting!A:A,Batting!F:F,"")</f>
        <v/>
      </c>
      <c r="L11" s="1" t="str">
        <f t="array" ref="L11">_xlfn.xlookup(A11,Batting!A:A,Batting!G:G,"")</f>
        <v/>
      </c>
      <c r="M11" s="1" t="str">
        <f t="array" ref="M11">_xlfn.xlookup(A11,Batting!A:A,Batting!H:H,"")</f>
        <v/>
      </c>
      <c r="N11" s="1">
        <f t="array" ref="N11">_xlfn.xlookup(A11,Bowling!A:A,Bowling!F:F,"")</f>
        <v>20</v>
      </c>
      <c r="O11" s="1">
        <f t="array" ref="O11">_xlfn.xlookup(A11,Bowling!A:A,Bowling!G:G,"")</f>
        <v>5.38</v>
      </c>
      <c r="P11" s="1">
        <f t="array" ref="P11">_xlfn.xlookup(A11,Bowling!A:A,Bowling!H:H,"")</f>
        <v>1.43</v>
      </c>
      <c r="Q11" s="1">
        <f t="array" ref="Q11">_xlfn.xlookup(A11,Bowling!A:A,Bowling!I:I,"")</f>
        <v>56.09</v>
      </c>
    </row>
    <row r="12" ht="15.75" customHeight="1">
      <c r="A12" s="1" t="s">
        <v>29</v>
      </c>
      <c r="B12" s="1" t="s">
        <v>10</v>
      </c>
      <c r="C12" s="1" t="s">
        <v>20</v>
      </c>
      <c r="D12" s="1">
        <v>2023.0</v>
      </c>
      <c r="E12" s="1">
        <v>1.2</v>
      </c>
      <c r="F12" s="1">
        <v>6.0</v>
      </c>
      <c r="G12" s="1">
        <v>5.0</v>
      </c>
      <c r="H12" s="1">
        <v>6.0</v>
      </c>
      <c r="I12" s="1" t="s">
        <v>32</v>
      </c>
      <c r="J12" s="1" t="str">
        <f t="array" ref="J12">_xlfn.xlookup(A12,Batting!A:A,Batting!E:E,"")</f>
        <v/>
      </c>
      <c r="K12" s="1" t="str">
        <f t="array" ref="K12">_xlfn.xlookup(A12,Batting!A:A,Batting!F:F,"")</f>
        <v/>
      </c>
      <c r="L12" s="1" t="str">
        <f t="array" ref="L12">_xlfn.xlookup(A12,Batting!A:A,Batting!G:G,"")</f>
        <v/>
      </c>
      <c r="M12" s="1" t="str">
        <f t="array" ref="M12">_xlfn.xlookup(A12,Batting!A:A,Batting!H:H,"")</f>
        <v/>
      </c>
      <c r="N12" s="1">
        <f t="array" ref="N12">_xlfn.xlookup(A12,Bowling!A:A,Bowling!F:F,"")</f>
        <v>17</v>
      </c>
      <c r="O12" s="1">
        <f t="array" ref="O12">_xlfn.xlookup(A12,Bowling!A:A,Bowling!G:G,"")</f>
        <v>6.25</v>
      </c>
      <c r="P12" s="1">
        <f t="array" ref="P12">_xlfn.xlookup(A12,Bowling!A:A,Bowling!H:H,"")</f>
        <v>1.21</v>
      </c>
      <c r="Q12" s="1">
        <f t="array" ref="Q12">_xlfn.xlookup(A12,Bowling!A:A,Bowling!I:I,"")</f>
        <v>49.68</v>
      </c>
    </row>
    <row r="13" ht="15.75" customHeight="1">
      <c r="A13" s="1" t="s">
        <v>25</v>
      </c>
      <c r="B13" s="1" t="s">
        <v>26</v>
      </c>
      <c r="C13" s="1" t="s">
        <v>22</v>
      </c>
      <c r="D13" s="1">
        <v>2023.0</v>
      </c>
      <c r="E13" s="1">
        <v>12.0</v>
      </c>
      <c r="F13" s="1">
        <v>60.0</v>
      </c>
      <c r="G13" s="1">
        <v>5.0</v>
      </c>
      <c r="H13" s="1">
        <v>3.0</v>
      </c>
      <c r="I13" s="1" t="s">
        <v>32</v>
      </c>
      <c r="J13" s="1">
        <f t="array" ref="J13">_xlfn.xlookup(A13,Batting!A:A,Batting!E:E,"")</f>
        <v>290</v>
      </c>
      <c r="K13" s="1">
        <f t="array" ref="K13">_xlfn.xlookup(A13,Batting!A:A,Batting!F:F,"")</f>
        <v>22.31</v>
      </c>
      <c r="L13" s="1">
        <f t="array" ref="L13">_xlfn.xlookup(A13,Batting!A:A,Batting!G:G,"")</f>
        <v>126.09</v>
      </c>
      <c r="M13" s="1">
        <f t="array" ref="M13">_xlfn.xlookup(A13,Batting!A:A,Batting!H:H,"")</f>
        <v>57.24</v>
      </c>
      <c r="N13" s="1">
        <f t="array" ref="N13">_xlfn.xlookup(A13,Bowling!A:A,Bowling!F:F,"")</f>
        <v>13</v>
      </c>
      <c r="O13" s="1">
        <f t="array" ref="O13">_xlfn.xlookup(A13,Bowling!A:A,Bowling!G:G,"")</f>
        <v>6.5</v>
      </c>
      <c r="P13" s="1">
        <f t="array" ref="P13">_xlfn.xlookup(A13,Bowling!A:A,Bowling!H:H,"")</f>
        <v>0.93</v>
      </c>
      <c r="Q13" s="1">
        <f t="array" ref="Q13">_xlfn.xlookup(A13,Bowling!A:A,Bowling!I:I,"")</f>
        <v>42.67</v>
      </c>
    </row>
    <row r="14" ht="15.75" customHeight="1">
      <c r="A14" s="1" t="s">
        <v>36</v>
      </c>
      <c r="B14" s="1" t="s">
        <v>26</v>
      </c>
      <c r="C14" s="1" t="s">
        <v>24</v>
      </c>
      <c r="D14" s="1">
        <v>2023.0</v>
      </c>
      <c r="E14" s="1">
        <v>13.5</v>
      </c>
      <c r="F14" s="1">
        <v>64.0</v>
      </c>
      <c r="G14" s="1">
        <v>4.74</v>
      </c>
      <c r="H14" s="1">
        <v>2.0</v>
      </c>
      <c r="I14" s="1" t="s">
        <v>32</v>
      </c>
      <c r="J14" s="1">
        <f t="array" ref="J14">_xlfn.xlookup(A14,Batting!A:A,Batting!E:E,"")</f>
        <v>280</v>
      </c>
      <c r="K14" s="1">
        <f t="array" ref="K14">_xlfn.xlookup(A14,Batting!A:A,Batting!F:F,"")</f>
        <v>20</v>
      </c>
      <c r="L14" s="1">
        <f t="array" ref="L14">_xlfn.xlookup(A14,Batting!A:A,Batting!G:G,"")</f>
        <v>127.27</v>
      </c>
      <c r="M14" s="1">
        <f t="array" ref="M14">_xlfn.xlookup(A14,Batting!A:A,Batting!H:H,"")</f>
        <v>55.71</v>
      </c>
      <c r="N14" s="1">
        <f t="array" ref="N14">_xlfn.xlookup(A14,Bowling!A:A,Bowling!F:F,"")</f>
        <v>12</v>
      </c>
      <c r="O14" s="1">
        <f t="array" ref="O14">_xlfn.xlookup(A14,Bowling!A:A,Bowling!G:G,"")</f>
        <v>6.46</v>
      </c>
      <c r="P14" s="1">
        <f t="array" ref="P14">_xlfn.xlookup(A14,Bowling!A:A,Bowling!H:H,"")</f>
        <v>0.86</v>
      </c>
      <c r="Q14" s="1">
        <f t="array" ref="Q14">_xlfn.xlookup(A14,Bowling!A:A,Bowling!I:I,"")</f>
        <v>43.4</v>
      </c>
    </row>
    <row r="15" ht="15.75" customHeight="1">
      <c r="A15" s="1" t="s">
        <v>37</v>
      </c>
      <c r="B15" s="1" t="s">
        <v>26</v>
      </c>
      <c r="C15" s="1" t="s">
        <v>31</v>
      </c>
      <c r="D15" s="1">
        <v>2023.0</v>
      </c>
      <c r="E15" s="1">
        <v>10.0</v>
      </c>
      <c r="F15" s="1">
        <v>46.0</v>
      </c>
      <c r="G15" s="1">
        <v>4.6</v>
      </c>
      <c r="H15" s="1">
        <v>4.0</v>
      </c>
      <c r="I15" s="1" t="s">
        <v>32</v>
      </c>
      <c r="J15" s="1">
        <f t="array" ref="J15">_xlfn.xlookup(A15,Batting!A:A,Batting!E:E,"")</f>
        <v>260</v>
      </c>
      <c r="K15" s="1">
        <f t="array" ref="K15">_xlfn.xlookup(A15,Batting!A:A,Batting!F:F,"")</f>
        <v>20</v>
      </c>
      <c r="L15" s="1">
        <f t="array" ref="L15">_xlfn.xlookup(A15,Batting!A:A,Batting!G:G,"")</f>
        <v>123.81</v>
      </c>
      <c r="M15" s="1">
        <f t="array" ref="M15">_xlfn.xlookup(A15,Batting!A:A,Batting!H:H,"")</f>
        <v>56.92</v>
      </c>
      <c r="N15" s="1">
        <f t="array" ref="N15">_xlfn.xlookup(A15,Bowling!A:A,Bowling!F:F,"")</f>
        <v>11</v>
      </c>
      <c r="O15" s="1">
        <f t="array" ref="O15">_xlfn.xlookup(A15,Bowling!A:A,Bowling!G:G,"")</f>
        <v>6.41</v>
      </c>
      <c r="P15" s="1">
        <f t="array" ref="P15">_xlfn.xlookup(A15,Bowling!A:A,Bowling!H:H,"")</f>
        <v>0.79</v>
      </c>
      <c r="Q15" s="1">
        <f t="array" ref="Q15">_xlfn.xlookup(A15,Bowling!A:A,Bowling!I:I,"")</f>
        <v>42.75</v>
      </c>
    </row>
    <row r="16" ht="15.75" customHeight="1">
      <c r="A16" s="1" t="s">
        <v>34</v>
      </c>
      <c r="B16" s="1" t="s">
        <v>26</v>
      </c>
      <c r="C16" s="1" t="s">
        <v>16</v>
      </c>
      <c r="D16" s="1">
        <v>2023.0</v>
      </c>
      <c r="E16" s="1">
        <v>17.0</v>
      </c>
      <c r="F16" s="1">
        <v>77.0</v>
      </c>
      <c r="G16" s="1">
        <v>4.53</v>
      </c>
      <c r="H16" s="1">
        <v>1.0</v>
      </c>
      <c r="I16" s="1" t="s">
        <v>32</v>
      </c>
      <c r="J16" s="1">
        <f t="array" ref="J16">_xlfn.xlookup(A16,Batting!A:A,Batting!E:E,"")</f>
        <v>310</v>
      </c>
      <c r="K16" s="1">
        <f t="array" ref="K16">_xlfn.xlookup(A16,Batting!A:A,Batting!F:F,"")</f>
        <v>22.14</v>
      </c>
      <c r="L16" s="1">
        <f t="array" ref="L16">_xlfn.xlookup(A16,Batting!A:A,Batting!G:G,"")</f>
        <v>129.17</v>
      </c>
      <c r="M16" s="1">
        <f t="array" ref="M16">_xlfn.xlookup(A16,Batting!A:A,Batting!H:H,"")</f>
        <v>63.23</v>
      </c>
      <c r="N16" s="1">
        <f t="array" ref="N16">_xlfn.xlookup(A16,Bowling!A:A,Bowling!F:F,"")</f>
        <v>14</v>
      </c>
      <c r="O16" s="1">
        <f t="array" ref="O16">_xlfn.xlookup(A16,Bowling!A:A,Bowling!G:G,"")</f>
        <v>6.73</v>
      </c>
      <c r="P16" s="1">
        <f t="array" ref="P16">_xlfn.xlookup(A16,Bowling!A:A,Bowling!H:H,"")</f>
        <v>1</v>
      </c>
      <c r="Q16" s="1">
        <f t="array" ref="Q16">_xlfn.xlookup(A16,Bowling!A:A,Bowling!I:I,"")</f>
        <v>43.27</v>
      </c>
    </row>
    <row r="17" ht="15.75" customHeight="1">
      <c r="A17" s="1" t="s">
        <v>33</v>
      </c>
      <c r="B17" s="1" t="s">
        <v>18</v>
      </c>
      <c r="C17" s="1" t="s">
        <v>20</v>
      </c>
      <c r="D17" s="1">
        <v>2023.0</v>
      </c>
      <c r="E17" s="1">
        <v>16.5</v>
      </c>
      <c r="F17" s="1">
        <v>74.3</v>
      </c>
      <c r="G17" s="1">
        <v>4.5</v>
      </c>
      <c r="H17" s="1">
        <v>3.0</v>
      </c>
      <c r="I17" s="1" t="s">
        <v>32</v>
      </c>
      <c r="J17" s="1">
        <f t="array" ref="J17">_xlfn.xlookup(A17,Batting!A:A,Batting!E:E,"")</f>
        <v>480</v>
      </c>
      <c r="K17" s="1">
        <f t="array" ref="K17">_xlfn.xlookup(A17,Batting!A:A,Batting!F:F,"")</f>
        <v>34.29</v>
      </c>
      <c r="L17" s="1">
        <f t="array" ref="L17">_xlfn.xlookup(A17,Batting!A:A,Batting!G:G,"")</f>
        <v>126.32</v>
      </c>
      <c r="M17" s="1">
        <f t="array" ref="M17">_xlfn.xlookup(A17,Batting!A:A,Batting!H:H,"")</f>
        <v>57.5</v>
      </c>
      <c r="N17" s="1" t="str">
        <f t="array" ref="N17">_xlfn.xlookup(A17,Bowling!A:A,Bowling!F:F,"")</f>
        <v/>
      </c>
      <c r="O17" s="1" t="str">
        <f t="array" ref="O17">_xlfn.xlookup(A17,Bowling!A:A,Bowling!G:G,"")</f>
        <v/>
      </c>
      <c r="P17" s="1" t="str">
        <f t="array" ref="P17">_xlfn.xlookup(A17,Bowling!A:A,Bowling!H:H,"")</f>
        <v/>
      </c>
      <c r="Q17" s="1" t="str">
        <f t="array" ref="Q17">_xlfn.xlookup(A17,Bowling!A:A,Bowling!I:I,"")</f>
        <v/>
      </c>
    </row>
    <row r="18" ht="15.75" customHeight="1">
      <c r="A18" s="1" t="s">
        <v>38</v>
      </c>
      <c r="B18" s="1" t="s">
        <v>26</v>
      </c>
      <c r="C18" s="1" t="s">
        <v>20</v>
      </c>
      <c r="D18" s="1">
        <v>2023.0</v>
      </c>
      <c r="E18" s="1">
        <v>9.5</v>
      </c>
      <c r="F18" s="1">
        <v>33.0</v>
      </c>
      <c r="G18" s="1">
        <v>3.47</v>
      </c>
      <c r="H18" s="1">
        <v>5.0</v>
      </c>
      <c r="I18" s="1" t="s">
        <v>39</v>
      </c>
      <c r="J18" s="1">
        <f t="array" ref="J18">_xlfn.xlookup(A18,Batting!A:A,Batting!E:E,"")</f>
        <v>240</v>
      </c>
      <c r="K18" s="1">
        <f t="array" ref="K18">_xlfn.xlookup(A18,Batting!A:A,Batting!F:F,"")</f>
        <v>17.14</v>
      </c>
      <c r="L18" s="1">
        <f t="array" ref="L18">_xlfn.xlookup(A18,Batting!A:A,Batting!G:G,"")</f>
        <v>120</v>
      </c>
      <c r="M18" s="1">
        <f t="array" ref="M18">_xlfn.xlookup(A18,Batting!A:A,Batting!H:H,"")</f>
        <v>55.83</v>
      </c>
      <c r="N18" s="1">
        <f t="array" ref="N18">_xlfn.xlookup(A18,Bowling!A:A,Bowling!F:F,"")</f>
        <v>11</v>
      </c>
      <c r="O18" s="1">
        <f t="array" ref="O18">_xlfn.xlookup(A18,Bowling!A:A,Bowling!G:G,"")</f>
        <v>6.2</v>
      </c>
      <c r="P18" s="1">
        <f t="array" ref="P18">_xlfn.xlookup(A18,Bowling!A:A,Bowling!H:H,"")</f>
        <v>0.79</v>
      </c>
      <c r="Q18" s="1">
        <f t="array" ref="Q18">_xlfn.xlookup(A18,Bowling!A:A,Bowling!I:I,"")</f>
        <v>40.58</v>
      </c>
    </row>
    <row r="19" ht="15.75" customHeight="1">
      <c r="A19" s="1" t="s">
        <v>40</v>
      </c>
      <c r="B19" s="1" t="s">
        <v>10</v>
      </c>
      <c r="C19" s="1" t="s">
        <v>31</v>
      </c>
      <c r="D19" s="1">
        <v>2023.0</v>
      </c>
      <c r="E19" s="1">
        <v>6.5</v>
      </c>
      <c r="F19" s="1">
        <v>22.0</v>
      </c>
      <c r="G19" s="1">
        <v>3.38</v>
      </c>
      <c r="H19" s="1">
        <v>5.0</v>
      </c>
      <c r="I19" s="1" t="s">
        <v>39</v>
      </c>
      <c r="J19" s="1" t="str">
        <f t="array" ref="J19">_xlfn.xlookup(A19,Batting!A:A,Batting!E:E,"")</f>
        <v/>
      </c>
      <c r="K19" s="1" t="str">
        <f t="array" ref="K19">_xlfn.xlookup(A19,Batting!A:A,Batting!F:F,"")</f>
        <v/>
      </c>
      <c r="L19" s="1" t="str">
        <f t="array" ref="L19">_xlfn.xlookup(A19,Batting!A:A,Batting!G:G,"")</f>
        <v/>
      </c>
      <c r="M19" s="1" t="str">
        <f t="array" ref="M19">_xlfn.xlookup(A19,Batting!A:A,Batting!H:H,"")</f>
        <v/>
      </c>
      <c r="N19" s="1">
        <f t="array" ref="N19">_xlfn.xlookup(A19,Bowling!A:A,Bowling!F:F,"")</f>
        <v>21</v>
      </c>
      <c r="O19" s="1">
        <f t="array" ref="O19">_xlfn.xlookup(A19,Bowling!A:A,Bowling!G:G,"")</f>
        <v>5.92</v>
      </c>
      <c r="P19" s="1">
        <f t="array" ref="P19">_xlfn.xlookup(A19,Bowling!A:A,Bowling!H:H,"")</f>
        <v>1.5</v>
      </c>
      <c r="Q19" s="1">
        <f t="array" ref="Q19">_xlfn.xlookup(A19,Bowling!A:A,Bowling!I:I,"")</f>
        <v>48.61</v>
      </c>
    </row>
    <row r="20" ht="15.75" customHeight="1">
      <c r="A20" s="1" t="s">
        <v>41</v>
      </c>
      <c r="B20" s="1" t="s">
        <v>26</v>
      </c>
      <c r="C20" s="1" t="s">
        <v>14</v>
      </c>
      <c r="D20" s="1">
        <v>2023.0</v>
      </c>
      <c r="E20" s="1">
        <v>11.0</v>
      </c>
      <c r="F20" s="1">
        <v>16.0</v>
      </c>
      <c r="G20" s="1">
        <v>1.45</v>
      </c>
      <c r="H20" s="1">
        <v>6.0</v>
      </c>
      <c r="I20" s="1" t="s">
        <v>42</v>
      </c>
      <c r="J20" s="1">
        <f t="array" ref="J20">_xlfn.xlookup(A20,Batting!A:A,Batting!E:E,"")</f>
        <v>200</v>
      </c>
      <c r="K20" s="1">
        <f t="array" ref="K20">_xlfn.xlookup(A20,Batting!A:A,Batting!F:F,"")</f>
        <v>15.38</v>
      </c>
      <c r="L20" s="1">
        <f t="array" ref="L20">_xlfn.xlookup(A20,Batting!A:A,Batting!G:G,"")</f>
        <v>117.65</v>
      </c>
      <c r="M20" s="1">
        <f t="array" ref="M20">_xlfn.xlookup(A20,Batting!A:A,Batting!H:H,"")</f>
        <v>57</v>
      </c>
      <c r="N20" s="1">
        <f t="array" ref="N20">_xlfn.xlookup(A20,Bowling!A:A,Bowling!F:F,"")</f>
        <v>10</v>
      </c>
      <c r="O20" s="1">
        <f t="array" ref="O20">_xlfn.xlookup(A20,Bowling!A:A,Bowling!G:G,"")</f>
        <v>6.55</v>
      </c>
      <c r="P20" s="1">
        <f t="array" ref="P20">_xlfn.xlookup(A20,Bowling!A:A,Bowling!H:H,"")</f>
        <v>0.71</v>
      </c>
      <c r="Q20" s="1">
        <f t="array" ref="Q20">_xlfn.xlookup(A20,Bowling!A:A,Bowling!I:I,"")</f>
        <v>42.86</v>
      </c>
    </row>
    <row r="21" ht="15.75" customHeight="1">
      <c r="A21" s="1" t="s">
        <v>43</v>
      </c>
      <c r="B21" s="1" t="s">
        <v>18</v>
      </c>
      <c r="C21" s="1" t="s">
        <v>16</v>
      </c>
      <c r="D21" s="1">
        <v>2023.0</v>
      </c>
      <c r="E21" s="1">
        <v>4.0</v>
      </c>
      <c r="F21" s="1">
        <v>0.0</v>
      </c>
      <c r="G21" s="1">
        <v>0.0</v>
      </c>
      <c r="H21" s="1">
        <v>8.0</v>
      </c>
      <c r="I21" s="1" t="s">
        <v>42</v>
      </c>
      <c r="J21" s="1">
        <f t="array" ref="J21">_xlfn.xlookup(A21,Batting!A:A,Batting!E:E,"")</f>
        <v>280</v>
      </c>
      <c r="K21" s="1">
        <f t="array" ref="K21">_xlfn.xlookup(A21,Batting!A:A,Batting!F:F,"")</f>
        <v>23.33</v>
      </c>
      <c r="L21" s="1">
        <f t="array" ref="L21">_xlfn.xlookup(A21,Batting!A:A,Batting!G:G,"")</f>
        <v>116.67</v>
      </c>
      <c r="M21" s="1">
        <f t="array" ref="M21">_xlfn.xlookup(A21,Batting!A:A,Batting!H:H,"")</f>
        <v>48.57</v>
      </c>
      <c r="N21" s="1" t="str">
        <f t="array" ref="N21">_xlfn.xlookup(A21,Bowling!A:A,Bowling!F:F,"")</f>
        <v/>
      </c>
      <c r="O21" s="1" t="str">
        <f t="array" ref="O21">_xlfn.xlookup(A21,Bowling!A:A,Bowling!G:G,"")</f>
        <v/>
      </c>
      <c r="P21" s="1" t="str">
        <f t="array" ref="P21">_xlfn.xlookup(A21,Bowling!A:A,Bowling!H:H,"")</f>
        <v/>
      </c>
      <c r="Q21" s="1" t="str">
        <f t="array" ref="Q21">_xlfn.xlookup(A21,Bowling!A:A,Bowling!I:I,"")</f>
        <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195BC59-38E5-45A5-8734-2EBC7DC3144C}" filter="1" showAutoFilter="1">
      <autoFilter ref="$A$1:$Q$21"/>
    </customSheetView>
    <customSheetView guid="{2633E81B-C241-4F83-BA97-7F3E629AD7DB}" filter="1" showAutoFilter="1">
      <autoFilter ref="$A$1:$Q$21"/>
    </customSheetView>
    <customSheetView guid="{F195BC59-38E5-45A5-8734-2EBC7DC3144C}" filter="1" showAutoFilter="1">
      <autoFilter ref="$A$1:$Q$21"/>
    </customSheetView>
    <customSheetView guid="{2633E81B-C241-4F83-BA97-7F3E629AD7DB}" filter="1" showAutoFilter="1">
      <autoFilter ref="$A$1:$Q$21"/>
    </customSheetView>
    <customSheetView guid="{2633E81B-C241-4F83-BA97-7F3E629AD7DB}" filter="1" showAutoFilter="1">
      <autoFilter ref="$A$1:$Q$21"/>
    </customSheetView>
  </customSheetView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c r="A22" s="11"/>
      <c r="B22" s="12"/>
      <c r="C22" s="12"/>
      <c r="D22" s="13"/>
      <c r="E22" s="13"/>
      <c r="F22" s="1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extLst>
    <ext uri="{3A4CF648-6AED-40f4-86FF-DC5316D8AED3}">
      <x14:slicerList>
        <x14:slicer r:id="rId3"/>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A1" s="15" t="s">
        <v>56</v>
      </c>
      <c r="B1" s="16"/>
      <c r="C1" s="16"/>
      <c r="D1" s="16"/>
      <c r="E1" s="16"/>
      <c r="F1" s="16"/>
      <c r="G1" s="16"/>
      <c r="H1" s="16"/>
      <c r="I1" s="16"/>
      <c r="J1" s="16"/>
      <c r="K1" s="16"/>
      <c r="L1" s="16"/>
      <c r="M1" s="16"/>
      <c r="N1" s="16"/>
      <c r="O1" s="16"/>
      <c r="P1" s="17"/>
      <c r="Q1" s="18"/>
      <c r="R1" s="18"/>
      <c r="S1" s="19"/>
      <c r="T1" s="19"/>
      <c r="U1" s="19"/>
      <c r="V1" s="19"/>
      <c r="W1" s="19"/>
      <c r="X1" s="19"/>
      <c r="Y1" s="19"/>
      <c r="Z1" s="19"/>
    </row>
    <row r="2" ht="15.75" customHeight="1">
      <c r="A2" s="20"/>
      <c r="P2" s="21"/>
      <c r="Q2" s="18"/>
      <c r="R2" s="18"/>
      <c r="S2" s="19"/>
      <c r="T2" s="19"/>
      <c r="U2" s="19"/>
      <c r="V2" s="19"/>
      <c r="W2" s="19"/>
      <c r="X2" s="19"/>
      <c r="Y2" s="19"/>
      <c r="Z2" s="19"/>
    </row>
    <row r="3" ht="15.75" customHeight="1">
      <c r="A3" s="20"/>
      <c r="P3" s="21"/>
      <c r="Q3" s="18"/>
      <c r="R3" s="19"/>
      <c r="S3" s="19"/>
      <c r="T3" s="19"/>
      <c r="U3" s="19"/>
      <c r="V3" s="19"/>
      <c r="W3" s="19"/>
      <c r="X3" s="19"/>
      <c r="Y3" s="19"/>
      <c r="Z3" s="19"/>
    </row>
    <row r="4" ht="15.75" customHeight="1">
      <c r="A4" s="22"/>
      <c r="B4" s="23"/>
      <c r="C4" s="23"/>
      <c r="D4" s="23"/>
      <c r="E4" s="23"/>
      <c r="F4" s="23"/>
      <c r="G4" s="23"/>
      <c r="H4" s="23"/>
      <c r="I4" s="23"/>
      <c r="J4" s="23"/>
      <c r="K4" s="23"/>
      <c r="L4" s="23"/>
      <c r="M4" s="23"/>
      <c r="N4" s="23"/>
      <c r="O4" s="23"/>
      <c r="P4" s="24"/>
      <c r="Q4" s="18"/>
      <c r="R4" s="19"/>
      <c r="S4" s="19"/>
      <c r="T4" s="19"/>
      <c r="U4" s="19"/>
      <c r="V4" s="19"/>
      <c r="W4" s="19"/>
      <c r="X4" s="19"/>
      <c r="Y4" s="19"/>
      <c r="Z4" s="19"/>
    </row>
    <row r="5" ht="15.75" customHeight="1">
      <c r="A5" s="19"/>
      <c r="B5" s="19"/>
      <c r="C5" s="19"/>
      <c r="D5" s="19"/>
      <c r="E5" s="19"/>
      <c r="F5" s="19"/>
      <c r="G5" s="19"/>
      <c r="H5" s="19"/>
      <c r="I5" s="19"/>
      <c r="J5" s="19"/>
      <c r="K5" s="19"/>
      <c r="L5" s="19"/>
      <c r="M5" s="19"/>
      <c r="N5" s="19"/>
      <c r="O5" s="19"/>
      <c r="P5" s="19"/>
      <c r="Q5" s="19"/>
      <c r="R5" s="19"/>
      <c r="S5" s="19"/>
      <c r="T5" s="19"/>
      <c r="U5" s="19"/>
      <c r="V5" s="19"/>
      <c r="W5" s="19"/>
      <c r="X5" s="19"/>
      <c r="Y5" s="19"/>
      <c r="Z5" s="19"/>
    </row>
    <row r="6" ht="15.75" customHeight="1">
      <c r="A6" s="19"/>
      <c r="B6" s="19"/>
      <c r="C6" s="19"/>
      <c r="D6" s="19"/>
      <c r="E6" s="19"/>
      <c r="F6" s="19"/>
      <c r="G6" s="19"/>
      <c r="H6" s="19"/>
      <c r="I6" s="19"/>
      <c r="J6" s="19"/>
      <c r="K6" s="19"/>
      <c r="L6" s="19"/>
      <c r="M6" s="19"/>
      <c r="N6" s="19"/>
      <c r="O6" s="19"/>
      <c r="P6" s="19"/>
      <c r="Q6" s="19"/>
      <c r="R6" s="19"/>
      <c r="S6" s="19"/>
      <c r="T6" s="19"/>
      <c r="U6" s="19"/>
      <c r="V6" s="19"/>
      <c r="W6" s="19"/>
      <c r="X6" s="19"/>
      <c r="Y6" s="19"/>
      <c r="Z6" s="19"/>
    </row>
    <row r="7" ht="15.75" customHeight="1">
      <c r="A7" s="19"/>
      <c r="B7" s="19"/>
      <c r="C7" s="19"/>
      <c r="D7" s="19"/>
      <c r="E7" s="19"/>
      <c r="F7" s="19"/>
      <c r="G7" s="19"/>
      <c r="H7" s="19"/>
      <c r="I7" s="19"/>
      <c r="J7" s="19"/>
      <c r="K7" s="19"/>
      <c r="L7" s="19"/>
      <c r="M7" s="19"/>
      <c r="N7" s="19"/>
      <c r="O7" s="19"/>
      <c r="P7" s="19"/>
      <c r="Q7" s="19"/>
      <c r="R7" s="19"/>
      <c r="S7" s="19"/>
      <c r="T7" s="19"/>
      <c r="U7" s="19"/>
      <c r="V7" s="19"/>
      <c r="W7" s="19"/>
      <c r="X7" s="19"/>
      <c r="Y7" s="19"/>
      <c r="Z7" s="19"/>
    </row>
    <row r="8" ht="15.75" customHeight="1">
      <c r="A8" s="19"/>
      <c r="B8" s="19"/>
      <c r="C8" s="19"/>
      <c r="D8" s="19"/>
      <c r="E8" s="19"/>
      <c r="F8" s="19"/>
      <c r="G8" s="19"/>
      <c r="H8" s="19"/>
      <c r="I8" s="19"/>
      <c r="J8" s="19"/>
      <c r="K8" s="19"/>
      <c r="L8" s="19"/>
      <c r="M8" s="19"/>
      <c r="N8" s="19"/>
      <c r="O8" s="19"/>
      <c r="P8" s="19"/>
      <c r="Q8" s="19"/>
      <c r="R8" s="19"/>
      <c r="S8" s="19"/>
      <c r="T8" s="19"/>
      <c r="U8" s="19"/>
      <c r="V8" s="19"/>
      <c r="W8" s="19"/>
      <c r="X8" s="19"/>
      <c r="Y8" s="19"/>
      <c r="Z8" s="19"/>
    </row>
    <row r="9" ht="15.75" customHeight="1">
      <c r="A9" s="19"/>
      <c r="B9" s="19"/>
      <c r="C9" s="19"/>
      <c r="D9" s="19"/>
      <c r="E9" s="19"/>
      <c r="F9" s="19"/>
      <c r="G9" s="19"/>
      <c r="H9" s="19"/>
      <c r="I9" s="19"/>
      <c r="J9" s="19"/>
      <c r="K9" s="19"/>
      <c r="L9" s="19"/>
      <c r="M9" s="19"/>
      <c r="N9" s="19"/>
      <c r="O9" s="19"/>
      <c r="P9" s="19"/>
      <c r="Q9" s="19"/>
      <c r="R9" s="19"/>
      <c r="S9" s="19"/>
      <c r="T9" s="19"/>
      <c r="U9" s="19"/>
      <c r="V9" s="19"/>
      <c r="W9" s="19"/>
      <c r="X9" s="19"/>
      <c r="Y9" s="19"/>
      <c r="Z9" s="19"/>
    </row>
    <row r="10" ht="15.75" customHeight="1">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4"/>
  </mergeCells>
  <printOptions/>
  <pageMargins bottom="0.75" footer="0.0" header="0.0" left="0.7" right="0.7" top="0.75"/>
  <pageSetup orientation="landscape"/>
  <drawing r:id="rId1"/>
  <extLst>
    <ext uri="{3A4CF648-6AED-40f4-86FF-DC5316D8AED3}">
      <x14:slicerList>
        <x14:slicer r:id="rId2"/>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6" width="12.63"/>
  </cols>
  <sheetData>
    <row r="1" ht="15.75" customHeight="1">
      <c r="A1" s="2" t="e">
        <v>#REF!</v>
      </c>
      <c r="B1" s="3"/>
      <c r="C1" s="2"/>
      <c r="D1" s="4"/>
    </row>
    <row r="2" ht="15.75" customHeight="1">
      <c r="A2" s="2"/>
      <c r="B2" s="2"/>
      <c r="C2" s="2"/>
      <c r="D2" s="6"/>
    </row>
    <row r="3" ht="15.75" customHeight="1">
      <c r="A3" s="2"/>
      <c r="B3" s="2"/>
      <c r="C3" s="2"/>
      <c r="D3" s="6"/>
    </row>
    <row r="4" ht="15.75" customHeight="1">
      <c r="A4" s="7"/>
      <c r="B4" s="8"/>
      <c r="C4" s="8"/>
      <c r="D4" s="10"/>
    </row>
    <row r="5" ht="15.75" customHeight="1">
      <c r="A5" s="7"/>
      <c r="B5" s="8"/>
      <c r="C5" s="8"/>
      <c r="D5" s="10"/>
    </row>
    <row r="6" ht="15.75" customHeight="1">
      <c r="A6" s="7"/>
      <c r="B6" s="8"/>
      <c r="C6" s="8"/>
      <c r="D6" s="10"/>
    </row>
    <row r="7" ht="15.75" customHeight="1">
      <c r="A7" s="7"/>
      <c r="B7" s="8"/>
      <c r="C7" s="8"/>
      <c r="D7" s="10"/>
    </row>
    <row r="8" ht="15.75" customHeight="1">
      <c r="A8" s="7"/>
      <c r="B8" s="8"/>
      <c r="C8" s="8"/>
      <c r="D8" s="10"/>
    </row>
    <row r="9" ht="15.75" customHeight="1">
      <c r="A9" s="2"/>
      <c r="B9" s="2"/>
      <c r="C9" s="2"/>
      <c r="D9" s="6"/>
    </row>
    <row r="10" ht="15.75" customHeight="1">
      <c r="A10" s="7"/>
      <c r="B10" s="8"/>
      <c r="C10" s="8"/>
      <c r="D10" s="10"/>
    </row>
    <row r="11" ht="15.75" customHeight="1">
      <c r="A11" s="7"/>
      <c r="B11" s="8"/>
      <c r="C11" s="8"/>
      <c r="D11" s="10"/>
    </row>
    <row r="12" ht="15.75" customHeight="1">
      <c r="A12" s="7"/>
      <c r="B12" s="8"/>
      <c r="C12" s="8"/>
      <c r="D12" s="10"/>
    </row>
    <row r="13" ht="15.75" customHeight="1">
      <c r="A13" s="7"/>
      <c r="B13" s="8"/>
      <c r="C13" s="8"/>
      <c r="D13" s="10"/>
    </row>
    <row r="14" ht="15.75" customHeight="1">
      <c r="A14" s="7"/>
      <c r="B14" s="8"/>
      <c r="C14" s="8"/>
      <c r="D14" s="10"/>
    </row>
    <row r="15" ht="15.75" customHeight="1">
      <c r="A15" s="7"/>
      <c r="B15" s="8"/>
      <c r="C15" s="8"/>
      <c r="D15" s="10"/>
    </row>
    <row r="16" ht="15.75" customHeight="1">
      <c r="A16" s="7"/>
      <c r="B16" s="8"/>
      <c r="C16" s="8"/>
      <c r="D16" s="10"/>
    </row>
    <row r="17" ht="15.75" customHeight="1">
      <c r="A17" s="2"/>
      <c r="B17" s="2"/>
      <c r="C17" s="2"/>
      <c r="D17" s="6"/>
    </row>
    <row r="18" ht="15.75" customHeight="1">
      <c r="A18" s="7"/>
      <c r="B18" s="8"/>
      <c r="C18" s="8"/>
      <c r="D18" s="10"/>
    </row>
    <row r="19" ht="15.75" customHeight="1">
      <c r="A19" s="7"/>
      <c r="B19" s="8"/>
      <c r="C19" s="8"/>
      <c r="D19" s="10"/>
    </row>
    <row r="20" ht="15.75" customHeight="1">
      <c r="A20" s="7"/>
      <c r="B20" s="8"/>
      <c r="C20" s="8"/>
      <c r="D20" s="10"/>
    </row>
    <row r="21" ht="15.75" customHeight="1">
      <c r="A21" s="7"/>
      <c r="B21" s="8"/>
      <c r="C21" s="8"/>
      <c r="D21" s="10"/>
    </row>
    <row r="22" ht="15.75" customHeight="1">
      <c r="A22" s="11"/>
      <c r="B22" s="12"/>
      <c r="C22" s="12"/>
      <c r="D22" s="1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44</v>
      </c>
      <c r="F1" s="1" t="s">
        <v>45</v>
      </c>
      <c r="G1" s="1" t="s">
        <v>46</v>
      </c>
      <c r="H1" s="1" t="s">
        <v>47</v>
      </c>
    </row>
    <row r="2" ht="15.75" hidden="1" customHeight="1">
      <c r="A2" s="1" t="s">
        <v>33</v>
      </c>
      <c r="B2" s="1" t="s">
        <v>18</v>
      </c>
      <c r="C2" s="1" t="s">
        <v>20</v>
      </c>
      <c r="D2" s="1">
        <v>2022.0</v>
      </c>
      <c r="E2" s="1">
        <v>480.0</v>
      </c>
      <c r="F2" s="1">
        <v>34.29</v>
      </c>
      <c r="G2" s="1">
        <v>126.32</v>
      </c>
      <c r="H2" s="1">
        <v>57.5</v>
      </c>
    </row>
    <row r="3" ht="15.75" customHeight="1">
      <c r="A3" s="1" t="s">
        <v>33</v>
      </c>
      <c r="B3" s="1" t="s">
        <v>18</v>
      </c>
      <c r="C3" s="1" t="s">
        <v>20</v>
      </c>
      <c r="D3" s="1">
        <v>2023.0</v>
      </c>
      <c r="E3" s="1">
        <v>520.0</v>
      </c>
      <c r="F3" s="1">
        <v>37.14</v>
      </c>
      <c r="G3" s="1">
        <v>130.0</v>
      </c>
      <c r="H3" s="1">
        <v>58.46</v>
      </c>
    </row>
    <row r="4" ht="15.75" hidden="1" customHeight="1">
      <c r="A4" s="1" t="s">
        <v>34</v>
      </c>
      <c r="B4" s="1" t="s">
        <v>26</v>
      </c>
      <c r="C4" s="1" t="s">
        <v>16</v>
      </c>
      <c r="D4" s="1">
        <v>2022.0</v>
      </c>
      <c r="E4" s="1">
        <v>310.0</v>
      </c>
      <c r="F4" s="1">
        <v>22.14</v>
      </c>
      <c r="G4" s="1">
        <v>129.17</v>
      </c>
      <c r="H4" s="1">
        <v>63.23</v>
      </c>
    </row>
    <row r="5" ht="15.75" customHeight="1">
      <c r="A5" s="1" t="s">
        <v>34</v>
      </c>
      <c r="B5" s="1" t="s">
        <v>26</v>
      </c>
      <c r="C5" s="1" t="s">
        <v>16</v>
      </c>
      <c r="D5" s="1">
        <v>2023.0</v>
      </c>
      <c r="E5" s="1">
        <v>340.0</v>
      </c>
      <c r="F5" s="1">
        <v>24.29</v>
      </c>
      <c r="G5" s="1">
        <v>130.77</v>
      </c>
      <c r="H5" s="1">
        <v>63.53</v>
      </c>
    </row>
    <row r="6" ht="15.75" hidden="1" customHeight="1">
      <c r="A6" s="1" t="s">
        <v>21</v>
      </c>
      <c r="B6" s="1" t="s">
        <v>18</v>
      </c>
      <c r="C6" s="1" t="s">
        <v>22</v>
      </c>
      <c r="D6" s="1">
        <v>2022.0</v>
      </c>
      <c r="E6" s="1">
        <v>520.0</v>
      </c>
      <c r="F6" s="1">
        <v>43.33</v>
      </c>
      <c r="G6" s="1">
        <v>157.58</v>
      </c>
      <c r="H6" s="1">
        <v>76.92</v>
      </c>
    </row>
    <row r="7" ht="15.75" customHeight="1">
      <c r="A7" s="1" t="s">
        <v>21</v>
      </c>
      <c r="B7" s="1" t="s">
        <v>18</v>
      </c>
      <c r="C7" s="1" t="s">
        <v>22</v>
      </c>
      <c r="D7" s="1">
        <v>2023.0</v>
      </c>
      <c r="E7" s="1">
        <v>610.0</v>
      </c>
      <c r="F7" s="1">
        <v>43.57</v>
      </c>
      <c r="G7" s="1">
        <v>164.86</v>
      </c>
      <c r="H7" s="1">
        <v>75.08</v>
      </c>
    </row>
    <row r="8" ht="15.75" hidden="1" customHeight="1">
      <c r="A8" s="1" t="s">
        <v>19</v>
      </c>
      <c r="B8" s="1" t="s">
        <v>18</v>
      </c>
      <c r="C8" s="1" t="s">
        <v>20</v>
      </c>
      <c r="D8" s="1">
        <v>2022.0</v>
      </c>
      <c r="E8" s="1">
        <v>390.0</v>
      </c>
      <c r="F8" s="1">
        <v>30.0</v>
      </c>
      <c r="G8" s="1">
        <v>125.81</v>
      </c>
      <c r="H8" s="1">
        <v>55.38</v>
      </c>
    </row>
    <row r="9" ht="15.75" customHeight="1">
      <c r="A9" s="1" t="s">
        <v>19</v>
      </c>
      <c r="B9" s="1" t="s">
        <v>18</v>
      </c>
      <c r="C9" s="1" t="s">
        <v>20</v>
      </c>
      <c r="D9" s="1">
        <v>2023.0</v>
      </c>
      <c r="E9" s="1">
        <v>420.0</v>
      </c>
      <c r="F9" s="1">
        <v>30.0</v>
      </c>
      <c r="G9" s="1">
        <v>127.27</v>
      </c>
      <c r="H9" s="1">
        <v>57.62</v>
      </c>
    </row>
    <row r="10" ht="15.75" hidden="1" customHeight="1">
      <c r="A10" s="1" t="s">
        <v>36</v>
      </c>
      <c r="B10" s="1" t="s">
        <v>26</v>
      </c>
      <c r="C10" s="1" t="s">
        <v>24</v>
      </c>
      <c r="D10" s="1">
        <v>2022.0</v>
      </c>
      <c r="E10" s="1">
        <v>280.0</v>
      </c>
      <c r="F10" s="1">
        <v>20.0</v>
      </c>
      <c r="G10" s="1">
        <v>127.27</v>
      </c>
      <c r="H10" s="1">
        <v>55.71</v>
      </c>
    </row>
    <row r="11" ht="15.75" customHeight="1">
      <c r="A11" s="1" t="s">
        <v>36</v>
      </c>
      <c r="B11" s="1" t="s">
        <v>26</v>
      </c>
      <c r="C11" s="1" t="s">
        <v>24</v>
      </c>
      <c r="D11" s="1">
        <v>2023.0</v>
      </c>
      <c r="E11" s="1">
        <v>310.0</v>
      </c>
      <c r="F11" s="1">
        <v>22.14</v>
      </c>
      <c r="G11" s="1">
        <v>131.91</v>
      </c>
      <c r="H11" s="1">
        <v>58.06</v>
      </c>
    </row>
    <row r="12" ht="15.75" hidden="1" customHeight="1">
      <c r="A12" s="1" t="s">
        <v>28</v>
      </c>
      <c r="B12" s="1" t="s">
        <v>18</v>
      </c>
      <c r="C12" s="1" t="s">
        <v>11</v>
      </c>
      <c r="D12" s="1">
        <v>2022.0</v>
      </c>
      <c r="E12" s="1">
        <v>360.0</v>
      </c>
      <c r="F12" s="1">
        <v>27.69</v>
      </c>
      <c r="G12" s="1">
        <v>124.14</v>
      </c>
      <c r="H12" s="1">
        <v>50.0</v>
      </c>
    </row>
    <row r="13" ht="15.75" customHeight="1">
      <c r="A13" s="1" t="s">
        <v>28</v>
      </c>
      <c r="B13" s="1" t="s">
        <v>18</v>
      </c>
      <c r="C13" s="1" t="s">
        <v>11</v>
      </c>
      <c r="D13" s="1">
        <v>2023.0</v>
      </c>
      <c r="E13" s="1">
        <v>400.0</v>
      </c>
      <c r="F13" s="1">
        <v>28.57</v>
      </c>
      <c r="G13" s="1">
        <v>129.03</v>
      </c>
      <c r="H13" s="1">
        <v>51.0</v>
      </c>
    </row>
    <row r="14" ht="15.75" hidden="1" customHeight="1">
      <c r="A14" s="1" t="s">
        <v>25</v>
      </c>
      <c r="B14" s="1" t="s">
        <v>26</v>
      </c>
      <c r="C14" s="1" t="s">
        <v>22</v>
      </c>
      <c r="D14" s="1">
        <v>2022.0</v>
      </c>
      <c r="E14" s="1">
        <v>290.0</v>
      </c>
      <c r="F14" s="1">
        <v>22.31</v>
      </c>
      <c r="G14" s="1">
        <v>126.09</v>
      </c>
      <c r="H14" s="1">
        <v>57.24</v>
      </c>
    </row>
    <row r="15" ht="15.75" customHeight="1">
      <c r="A15" s="1" t="s">
        <v>25</v>
      </c>
      <c r="B15" s="1" t="s">
        <v>26</v>
      </c>
      <c r="C15" s="1" t="s">
        <v>22</v>
      </c>
      <c r="D15" s="1">
        <v>2023.0</v>
      </c>
      <c r="E15" s="1">
        <v>320.0</v>
      </c>
      <c r="F15" s="1">
        <v>22.86</v>
      </c>
      <c r="G15" s="1">
        <v>128.0</v>
      </c>
      <c r="H15" s="1">
        <v>59.38</v>
      </c>
    </row>
    <row r="16" ht="15.75" hidden="1" customHeight="1">
      <c r="A16" s="1" t="s">
        <v>17</v>
      </c>
      <c r="B16" s="1" t="s">
        <v>18</v>
      </c>
      <c r="C16" s="1" t="s">
        <v>14</v>
      </c>
      <c r="D16" s="1">
        <v>2022.0</v>
      </c>
      <c r="E16" s="1">
        <v>310.0</v>
      </c>
      <c r="F16" s="1">
        <v>25.83</v>
      </c>
      <c r="G16" s="1">
        <v>119.23</v>
      </c>
      <c r="H16" s="1">
        <v>51.61</v>
      </c>
    </row>
    <row r="17" ht="15.75" customHeight="1">
      <c r="A17" s="1" t="s">
        <v>17</v>
      </c>
      <c r="B17" s="1" t="s">
        <v>18</v>
      </c>
      <c r="C17" s="1" t="s">
        <v>14</v>
      </c>
      <c r="D17" s="1">
        <v>2023.0</v>
      </c>
      <c r="E17" s="1">
        <v>360.0</v>
      </c>
      <c r="F17" s="1">
        <v>25.71</v>
      </c>
      <c r="G17" s="1">
        <v>124.14</v>
      </c>
      <c r="H17" s="1">
        <v>52.22</v>
      </c>
    </row>
    <row r="18" ht="15.75" hidden="1" customHeight="1">
      <c r="A18" s="1" t="s">
        <v>38</v>
      </c>
      <c r="B18" s="1" t="s">
        <v>26</v>
      </c>
      <c r="C18" s="1" t="s">
        <v>20</v>
      </c>
      <c r="D18" s="1">
        <v>2022.0</v>
      </c>
      <c r="E18" s="1">
        <v>240.0</v>
      </c>
      <c r="F18" s="1">
        <v>17.14</v>
      </c>
      <c r="G18" s="1">
        <v>120.0</v>
      </c>
      <c r="H18" s="1">
        <v>55.83</v>
      </c>
    </row>
    <row r="19" ht="15.75" customHeight="1">
      <c r="A19" s="1" t="s">
        <v>38</v>
      </c>
      <c r="B19" s="1" t="s">
        <v>26</v>
      </c>
      <c r="C19" s="1" t="s">
        <v>20</v>
      </c>
      <c r="D19" s="1">
        <v>2023.0</v>
      </c>
      <c r="E19" s="1">
        <v>270.0</v>
      </c>
      <c r="F19" s="1">
        <v>19.29</v>
      </c>
      <c r="G19" s="1">
        <v>125.58</v>
      </c>
      <c r="H19" s="1">
        <v>58.52</v>
      </c>
    </row>
    <row r="20" ht="15.75" hidden="1" customHeight="1">
      <c r="A20" s="1" t="s">
        <v>23</v>
      </c>
      <c r="B20" s="1" t="s">
        <v>18</v>
      </c>
      <c r="C20" s="1" t="s">
        <v>24</v>
      </c>
      <c r="D20" s="1">
        <v>2022.0</v>
      </c>
      <c r="E20" s="1">
        <v>430.0</v>
      </c>
      <c r="F20" s="1">
        <v>33.08</v>
      </c>
      <c r="G20" s="1">
        <v>126.47</v>
      </c>
      <c r="H20" s="1">
        <v>59.53</v>
      </c>
    </row>
    <row r="21" ht="15.75" customHeight="1">
      <c r="A21" s="1" t="s">
        <v>23</v>
      </c>
      <c r="B21" s="1" t="s">
        <v>18</v>
      </c>
      <c r="C21" s="1" t="s">
        <v>24</v>
      </c>
      <c r="D21" s="1">
        <v>2023.0</v>
      </c>
      <c r="E21" s="1">
        <v>470.0</v>
      </c>
      <c r="F21" s="1">
        <v>33.57</v>
      </c>
      <c r="G21" s="1">
        <v>130.56</v>
      </c>
      <c r="H21" s="1">
        <v>60.43</v>
      </c>
    </row>
    <row r="22" ht="15.75" hidden="1" customHeight="1">
      <c r="A22" s="1" t="s">
        <v>43</v>
      </c>
      <c r="B22" s="1" t="s">
        <v>18</v>
      </c>
      <c r="C22" s="1" t="s">
        <v>16</v>
      </c>
      <c r="D22" s="1">
        <v>2022.0</v>
      </c>
      <c r="E22" s="1">
        <v>280.0</v>
      </c>
      <c r="F22" s="1">
        <v>23.33</v>
      </c>
      <c r="G22" s="1">
        <v>116.67</v>
      </c>
      <c r="H22" s="1">
        <v>48.57</v>
      </c>
    </row>
    <row r="23" ht="15.75" customHeight="1">
      <c r="A23" s="1" t="s">
        <v>43</v>
      </c>
      <c r="B23" s="1" t="s">
        <v>18</v>
      </c>
      <c r="C23" s="1" t="s">
        <v>16</v>
      </c>
      <c r="D23" s="1">
        <v>2023.0</v>
      </c>
      <c r="E23" s="1">
        <v>320.0</v>
      </c>
      <c r="F23" s="1">
        <v>22.86</v>
      </c>
      <c r="G23" s="1">
        <v>118.52</v>
      </c>
      <c r="H23" s="1">
        <v>50.0</v>
      </c>
    </row>
    <row r="24" ht="15.75" hidden="1" customHeight="1">
      <c r="A24" s="1" t="s">
        <v>41</v>
      </c>
      <c r="B24" s="1" t="s">
        <v>26</v>
      </c>
      <c r="C24" s="1" t="s">
        <v>14</v>
      </c>
      <c r="D24" s="1">
        <v>2022.0</v>
      </c>
      <c r="E24" s="1">
        <v>200.0</v>
      </c>
      <c r="F24" s="1">
        <v>15.38</v>
      </c>
      <c r="G24" s="1">
        <v>117.65</v>
      </c>
      <c r="H24" s="1">
        <v>57.0</v>
      </c>
    </row>
    <row r="25" ht="15.75" customHeight="1">
      <c r="A25" s="1" t="s">
        <v>41</v>
      </c>
      <c r="B25" s="1" t="s">
        <v>26</v>
      </c>
      <c r="C25" s="1" t="s">
        <v>14</v>
      </c>
      <c r="D25" s="1">
        <v>2023.0</v>
      </c>
      <c r="E25" s="1">
        <v>230.0</v>
      </c>
      <c r="F25" s="1">
        <v>16.43</v>
      </c>
      <c r="G25" s="1">
        <v>121.05</v>
      </c>
      <c r="H25" s="1">
        <v>58.26</v>
      </c>
    </row>
    <row r="26" ht="15.75" hidden="1" customHeight="1">
      <c r="A26" s="1" t="s">
        <v>35</v>
      </c>
      <c r="B26" s="1" t="s">
        <v>18</v>
      </c>
      <c r="C26" s="1" t="s">
        <v>22</v>
      </c>
      <c r="D26" s="1">
        <v>2022.0</v>
      </c>
      <c r="E26" s="1">
        <v>300.0</v>
      </c>
      <c r="F26" s="1">
        <v>25.0</v>
      </c>
      <c r="G26" s="1">
        <v>117.65</v>
      </c>
      <c r="H26" s="1">
        <v>50.0</v>
      </c>
    </row>
    <row r="27" ht="15.75" customHeight="1">
      <c r="A27" s="1" t="s">
        <v>35</v>
      </c>
      <c r="B27" s="1" t="s">
        <v>18</v>
      </c>
      <c r="C27" s="1" t="s">
        <v>22</v>
      </c>
      <c r="D27" s="1">
        <v>2023.0</v>
      </c>
      <c r="E27" s="1">
        <v>330.0</v>
      </c>
      <c r="F27" s="1">
        <v>25.38</v>
      </c>
      <c r="G27" s="1">
        <v>120.0</v>
      </c>
      <c r="H27" s="1">
        <v>52.73</v>
      </c>
    </row>
    <row r="28" ht="15.75" hidden="1" customHeight="1">
      <c r="A28" s="1" t="s">
        <v>37</v>
      </c>
      <c r="B28" s="1" t="s">
        <v>26</v>
      </c>
      <c r="C28" s="1" t="s">
        <v>31</v>
      </c>
      <c r="D28" s="1">
        <v>2022.0</v>
      </c>
      <c r="E28" s="1">
        <v>260.0</v>
      </c>
      <c r="F28" s="1">
        <v>20.0</v>
      </c>
      <c r="G28" s="1">
        <v>123.81</v>
      </c>
      <c r="H28" s="1">
        <v>56.92</v>
      </c>
    </row>
    <row r="29" ht="15.75" customHeight="1">
      <c r="A29" s="1" t="s">
        <v>37</v>
      </c>
      <c r="B29" s="1" t="s">
        <v>26</v>
      </c>
      <c r="C29" s="1" t="s">
        <v>31</v>
      </c>
      <c r="D29" s="1">
        <v>2023.0</v>
      </c>
      <c r="E29" s="1">
        <v>290.0</v>
      </c>
      <c r="F29" s="1">
        <v>20.71</v>
      </c>
      <c r="G29" s="1">
        <v>126.09</v>
      </c>
      <c r="H29" s="1">
        <v>59.31</v>
      </c>
    </row>
    <row r="30" ht="15.75" hidden="1" customHeight="1"/>
    <row r="31" ht="15.75" hidden="1" customHeight="1"/>
    <row r="32"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D$1:$D$1000">
    <filterColumn colId="0">
      <filters>
        <filter val="2023"/>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57</v>
      </c>
      <c r="F1" s="1" t="s">
        <v>48</v>
      </c>
      <c r="G1" s="1" t="s">
        <v>49</v>
      </c>
      <c r="H1" s="1" t="s">
        <v>50</v>
      </c>
      <c r="I1" s="1" t="s">
        <v>58</v>
      </c>
    </row>
    <row r="2" ht="15.75" customHeight="1">
      <c r="A2" s="1" t="s">
        <v>9</v>
      </c>
      <c r="B2" s="1" t="s">
        <v>10</v>
      </c>
      <c r="C2" s="1" t="s">
        <v>11</v>
      </c>
      <c r="D2" s="1">
        <v>2023.0</v>
      </c>
      <c r="E2" s="1">
        <v>14.0</v>
      </c>
      <c r="F2" s="1">
        <v>26.0</v>
      </c>
      <c r="G2" s="1">
        <v>5.09</v>
      </c>
      <c r="H2" s="1">
        <v>1.86</v>
      </c>
      <c r="I2" s="1">
        <v>61.78</v>
      </c>
    </row>
    <row r="3" ht="15.75" customHeight="1">
      <c r="A3" s="1" t="s">
        <v>13</v>
      </c>
      <c r="B3" s="1" t="s">
        <v>10</v>
      </c>
      <c r="C3" s="1" t="s">
        <v>14</v>
      </c>
      <c r="D3" s="1">
        <v>2023.0</v>
      </c>
      <c r="E3" s="1">
        <v>14.0</v>
      </c>
      <c r="F3" s="1">
        <v>25.0</v>
      </c>
      <c r="G3" s="1">
        <v>5.69</v>
      </c>
      <c r="H3" s="1">
        <v>1.79</v>
      </c>
      <c r="I3" s="1">
        <v>60.34</v>
      </c>
    </row>
    <row r="4" ht="15.75" hidden="1" customHeight="1">
      <c r="A4" s="1" t="s">
        <v>9</v>
      </c>
      <c r="B4" s="1" t="s">
        <v>10</v>
      </c>
      <c r="C4" s="1" t="s">
        <v>11</v>
      </c>
      <c r="D4" s="1">
        <v>2022.0</v>
      </c>
      <c r="E4" s="1">
        <v>14.0</v>
      </c>
      <c r="F4" s="1">
        <v>24.0</v>
      </c>
      <c r="G4" s="1">
        <v>5.09</v>
      </c>
      <c r="H4" s="1">
        <v>1.71</v>
      </c>
      <c r="I4" s="1">
        <v>59.52</v>
      </c>
    </row>
    <row r="5" ht="15.75" customHeight="1">
      <c r="A5" s="1" t="s">
        <v>15</v>
      </c>
      <c r="B5" s="1" t="s">
        <v>10</v>
      </c>
      <c r="C5" s="1" t="s">
        <v>16</v>
      </c>
      <c r="D5" s="1">
        <v>2023.0</v>
      </c>
      <c r="E5" s="1">
        <v>14.0</v>
      </c>
      <c r="F5" s="1">
        <v>23.0</v>
      </c>
      <c r="G5" s="1">
        <v>5.63</v>
      </c>
      <c r="H5" s="1">
        <v>1.64</v>
      </c>
      <c r="I5" s="1">
        <v>59.52</v>
      </c>
    </row>
    <row r="6" ht="15.75" hidden="1" customHeight="1">
      <c r="A6" s="1" t="s">
        <v>13</v>
      </c>
      <c r="B6" s="1" t="s">
        <v>10</v>
      </c>
      <c r="C6" s="1" t="s">
        <v>14</v>
      </c>
      <c r="D6" s="1">
        <v>2022.0</v>
      </c>
      <c r="E6" s="1">
        <v>14.0</v>
      </c>
      <c r="F6" s="1">
        <v>22.0</v>
      </c>
      <c r="G6" s="1">
        <v>5.54</v>
      </c>
      <c r="H6" s="1">
        <v>1.57</v>
      </c>
      <c r="I6" s="1">
        <v>56.55</v>
      </c>
    </row>
    <row r="7" ht="15.75" hidden="1" customHeight="1">
      <c r="A7" s="1" t="s">
        <v>15</v>
      </c>
      <c r="B7" s="1" t="s">
        <v>10</v>
      </c>
      <c r="C7" s="1" t="s">
        <v>16</v>
      </c>
      <c r="D7" s="1">
        <v>2022.0</v>
      </c>
      <c r="E7" s="1">
        <v>14.0</v>
      </c>
      <c r="F7" s="1">
        <v>21.0</v>
      </c>
      <c r="G7" s="1">
        <v>5.46</v>
      </c>
      <c r="H7" s="1">
        <v>1.5</v>
      </c>
      <c r="I7" s="1">
        <v>57.1</v>
      </c>
    </row>
    <row r="8" ht="15.75" customHeight="1">
      <c r="A8" s="1" t="s">
        <v>40</v>
      </c>
      <c r="B8" s="1" t="s">
        <v>10</v>
      </c>
      <c r="C8" s="1" t="s">
        <v>31</v>
      </c>
      <c r="D8" s="1">
        <v>2023.0</v>
      </c>
      <c r="E8" s="1">
        <v>14.0</v>
      </c>
      <c r="F8" s="1">
        <v>21.0</v>
      </c>
      <c r="G8" s="1">
        <v>5.92</v>
      </c>
      <c r="H8" s="1">
        <v>1.5</v>
      </c>
      <c r="I8" s="1">
        <v>48.61</v>
      </c>
    </row>
    <row r="9" ht="15.75" hidden="1" customHeight="1">
      <c r="A9" s="1" t="s">
        <v>30</v>
      </c>
      <c r="B9" s="1" t="s">
        <v>10</v>
      </c>
      <c r="C9" s="1" t="s">
        <v>31</v>
      </c>
      <c r="D9" s="1">
        <v>2022.0</v>
      </c>
      <c r="E9" s="1">
        <v>14.0</v>
      </c>
      <c r="F9" s="1">
        <v>20.0</v>
      </c>
      <c r="G9" s="1">
        <v>5.38</v>
      </c>
      <c r="H9" s="1">
        <v>1.43</v>
      </c>
      <c r="I9" s="1">
        <v>56.09</v>
      </c>
    </row>
    <row r="10" ht="15.75" hidden="1" customHeight="1">
      <c r="A10" s="1" t="s">
        <v>40</v>
      </c>
      <c r="B10" s="1" t="s">
        <v>10</v>
      </c>
      <c r="C10" s="1" t="s">
        <v>31</v>
      </c>
      <c r="D10" s="1">
        <v>2022.0</v>
      </c>
      <c r="E10" s="1">
        <v>14.0</v>
      </c>
      <c r="F10" s="1">
        <v>19.0</v>
      </c>
      <c r="G10" s="1">
        <v>5.86</v>
      </c>
      <c r="H10" s="1">
        <v>1.36</v>
      </c>
      <c r="I10" s="1">
        <v>45.98</v>
      </c>
    </row>
    <row r="11" ht="15.75" customHeight="1">
      <c r="A11" s="1" t="s">
        <v>30</v>
      </c>
      <c r="B11" s="1" t="s">
        <v>10</v>
      </c>
      <c r="C11" s="1" t="s">
        <v>31</v>
      </c>
      <c r="D11" s="1">
        <v>2023.0</v>
      </c>
      <c r="E11" s="1">
        <v>14.0</v>
      </c>
      <c r="F11" s="1">
        <v>18.0</v>
      </c>
      <c r="G11" s="1">
        <v>5.46</v>
      </c>
      <c r="H11" s="1">
        <v>1.29</v>
      </c>
      <c r="I11" s="1">
        <v>50.93</v>
      </c>
    </row>
    <row r="12" ht="15.75" customHeight="1">
      <c r="A12" s="1" t="s">
        <v>29</v>
      </c>
      <c r="B12" s="1" t="s">
        <v>10</v>
      </c>
      <c r="C12" s="1" t="s">
        <v>20</v>
      </c>
      <c r="D12" s="1">
        <v>2023.0</v>
      </c>
      <c r="E12" s="1">
        <v>14.0</v>
      </c>
      <c r="F12" s="1">
        <v>17.0</v>
      </c>
      <c r="G12" s="1">
        <v>6.25</v>
      </c>
      <c r="H12" s="1">
        <v>1.21</v>
      </c>
      <c r="I12" s="1">
        <v>49.68</v>
      </c>
    </row>
    <row r="13" ht="15.75" hidden="1" customHeight="1">
      <c r="A13" s="1" t="s">
        <v>29</v>
      </c>
      <c r="B13" s="1" t="s">
        <v>10</v>
      </c>
      <c r="C13" s="1" t="s">
        <v>20</v>
      </c>
      <c r="D13" s="1">
        <v>2022.0</v>
      </c>
      <c r="E13" s="1">
        <v>14.0</v>
      </c>
      <c r="F13" s="1">
        <v>15.0</v>
      </c>
      <c r="G13" s="1">
        <v>6.2</v>
      </c>
      <c r="H13" s="1">
        <v>1.07</v>
      </c>
      <c r="I13" s="1">
        <v>46.67</v>
      </c>
    </row>
    <row r="14" ht="15.75" customHeight="1">
      <c r="A14" s="1" t="s">
        <v>34</v>
      </c>
      <c r="B14" s="1" t="s">
        <v>26</v>
      </c>
      <c r="C14" s="1" t="s">
        <v>16</v>
      </c>
      <c r="D14" s="1">
        <v>2023.0</v>
      </c>
      <c r="E14" s="1">
        <v>14.0</v>
      </c>
      <c r="F14" s="1">
        <v>14.0</v>
      </c>
      <c r="G14" s="1">
        <v>6.73</v>
      </c>
      <c r="H14" s="1">
        <v>1.0</v>
      </c>
      <c r="I14" s="1">
        <v>43.27</v>
      </c>
    </row>
    <row r="15" ht="15.75" customHeight="1">
      <c r="A15" s="1" t="s">
        <v>25</v>
      </c>
      <c r="B15" s="1" t="s">
        <v>26</v>
      </c>
      <c r="C15" s="1" t="s">
        <v>22</v>
      </c>
      <c r="D15" s="1">
        <v>2023.0</v>
      </c>
      <c r="E15" s="1">
        <v>14.0</v>
      </c>
      <c r="F15" s="1">
        <v>13.0</v>
      </c>
      <c r="G15" s="1">
        <v>6.5</v>
      </c>
      <c r="H15" s="1">
        <v>0.93</v>
      </c>
      <c r="I15" s="1">
        <v>42.67</v>
      </c>
    </row>
    <row r="16" ht="15.75" customHeight="1">
      <c r="A16" s="1" t="s">
        <v>36</v>
      </c>
      <c r="B16" s="1" t="s">
        <v>26</v>
      </c>
      <c r="C16" s="1" t="s">
        <v>24</v>
      </c>
      <c r="D16" s="1">
        <v>2023.0</v>
      </c>
      <c r="E16" s="1">
        <v>14.0</v>
      </c>
      <c r="F16" s="1">
        <v>12.0</v>
      </c>
      <c r="G16" s="1">
        <v>6.46</v>
      </c>
      <c r="H16" s="1">
        <v>0.86</v>
      </c>
      <c r="I16" s="1">
        <v>43.4</v>
      </c>
    </row>
    <row r="17" ht="15.75" hidden="1" customHeight="1">
      <c r="A17" s="1" t="s">
        <v>34</v>
      </c>
      <c r="B17" s="1" t="s">
        <v>26</v>
      </c>
      <c r="C17" s="1" t="s">
        <v>16</v>
      </c>
      <c r="D17" s="1">
        <v>2022.0</v>
      </c>
      <c r="E17" s="1">
        <v>14.0</v>
      </c>
      <c r="F17" s="1">
        <v>12.0</v>
      </c>
      <c r="G17" s="1">
        <v>6.67</v>
      </c>
      <c r="H17" s="1">
        <v>0.86</v>
      </c>
      <c r="I17" s="1">
        <v>41.67</v>
      </c>
    </row>
    <row r="18" ht="15.75" customHeight="1">
      <c r="A18" s="1" t="s">
        <v>38</v>
      </c>
      <c r="B18" s="1" t="s">
        <v>26</v>
      </c>
      <c r="C18" s="1" t="s">
        <v>20</v>
      </c>
      <c r="D18" s="1">
        <v>2023.0</v>
      </c>
      <c r="E18" s="1">
        <v>14.0</v>
      </c>
      <c r="F18" s="1">
        <v>11.0</v>
      </c>
      <c r="G18" s="1">
        <v>6.2</v>
      </c>
      <c r="H18" s="1">
        <v>0.79</v>
      </c>
      <c r="I18" s="1">
        <v>40.58</v>
      </c>
    </row>
    <row r="19" ht="15.75" customHeight="1">
      <c r="A19" s="1" t="s">
        <v>37</v>
      </c>
      <c r="B19" s="1" t="s">
        <v>26</v>
      </c>
      <c r="C19" s="1" t="s">
        <v>31</v>
      </c>
      <c r="D19" s="1">
        <v>2023.0</v>
      </c>
      <c r="E19" s="1">
        <v>14.0</v>
      </c>
      <c r="F19" s="1">
        <v>11.0</v>
      </c>
      <c r="G19" s="1">
        <v>6.41</v>
      </c>
      <c r="H19" s="1">
        <v>0.79</v>
      </c>
      <c r="I19" s="1">
        <v>42.75</v>
      </c>
    </row>
    <row r="20" ht="15.75" hidden="1" customHeight="1">
      <c r="A20" s="1" t="s">
        <v>25</v>
      </c>
      <c r="B20" s="1" t="s">
        <v>26</v>
      </c>
      <c r="C20" s="1" t="s">
        <v>22</v>
      </c>
      <c r="D20" s="1">
        <v>2022.0</v>
      </c>
      <c r="E20" s="1">
        <v>13.0</v>
      </c>
      <c r="F20" s="1">
        <v>11.0</v>
      </c>
      <c r="G20" s="1">
        <v>6.63</v>
      </c>
      <c r="H20" s="1">
        <v>0.85</v>
      </c>
      <c r="I20" s="1">
        <v>41.67</v>
      </c>
    </row>
    <row r="21" ht="15.75" customHeight="1">
      <c r="A21" s="1" t="s">
        <v>41</v>
      </c>
      <c r="B21" s="1" t="s">
        <v>26</v>
      </c>
      <c r="C21" s="1" t="s">
        <v>14</v>
      </c>
      <c r="D21" s="1">
        <v>2023.0</v>
      </c>
      <c r="E21" s="1">
        <v>14.0</v>
      </c>
      <c r="F21" s="1">
        <v>10.0</v>
      </c>
      <c r="G21" s="1">
        <v>6.55</v>
      </c>
      <c r="H21" s="1">
        <v>0.71</v>
      </c>
      <c r="I21" s="1">
        <v>42.86</v>
      </c>
    </row>
    <row r="22" ht="15.75" hidden="1" customHeight="1">
      <c r="A22" s="1" t="s">
        <v>36</v>
      </c>
      <c r="B22" s="1" t="s">
        <v>26</v>
      </c>
      <c r="C22" s="1" t="s">
        <v>24</v>
      </c>
      <c r="D22" s="1">
        <v>2022.0</v>
      </c>
      <c r="E22" s="1">
        <v>14.0</v>
      </c>
      <c r="F22" s="1">
        <v>10.0</v>
      </c>
      <c r="G22" s="1">
        <v>6.59</v>
      </c>
      <c r="H22" s="1">
        <v>0.71</v>
      </c>
      <c r="I22" s="1">
        <v>41.67</v>
      </c>
    </row>
    <row r="23" ht="15.75" hidden="1" customHeight="1">
      <c r="A23" s="1" t="s">
        <v>38</v>
      </c>
      <c r="B23" s="1" t="s">
        <v>26</v>
      </c>
      <c r="C23" s="1" t="s">
        <v>20</v>
      </c>
      <c r="D23" s="1">
        <v>2022.0</v>
      </c>
      <c r="E23" s="1">
        <v>14.0</v>
      </c>
      <c r="F23" s="1">
        <v>9.0</v>
      </c>
      <c r="G23" s="1">
        <v>6.43</v>
      </c>
      <c r="H23" s="1">
        <v>0.64</v>
      </c>
      <c r="I23" s="1">
        <v>39.68</v>
      </c>
    </row>
    <row r="24" ht="15.75" hidden="1" customHeight="1">
      <c r="A24" s="1" t="s">
        <v>37</v>
      </c>
      <c r="B24" s="1" t="s">
        <v>26</v>
      </c>
      <c r="C24" s="1" t="s">
        <v>31</v>
      </c>
      <c r="D24" s="1">
        <v>2022.0</v>
      </c>
      <c r="E24" s="1">
        <v>13.0</v>
      </c>
      <c r="F24" s="1">
        <v>9.0</v>
      </c>
      <c r="G24" s="1">
        <v>6.67</v>
      </c>
      <c r="H24" s="1">
        <v>0.69</v>
      </c>
      <c r="I24" s="1">
        <v>41.67</v>
      </c>
    </row>
    <row r="25" ht="15.75" hidden="1" customHeight="1">
      <c r="A25" s="1" t="s">
        <v>41</v>
      </c>
      <c r="B25" s="1" t="s">
        <v>26</v>
      </c>
      <c r="C25" s="1" t="s">
        <v>14</v>
      </c>
      <c r="D25" s="1">
        <v>2022.0</v>
      </c>
      <c r="E25" s="1">
        <v>13.0</v>
      </c>
      <c r="F25" s="1">
        <v>8.0</v>
      </c>
      <c r="G25" s="1">
        <v>6.84</v>
      </c>
      <c r="H25" s="1">
        <v>0.62</v>
      </c>
      <c r="I25" s="1">
        <v>41.67</v>
      </c>
    </row>
    <row r="26" ht="15.75" hidden="1" customHeight="1"/>
    <row r="27" ht="15.75" hidden="1" customHeight="1"/>
    <row r="28" ht="15.75" hidden="1" customHeight="1"/>
    <row r="29" ht="15.75" hidden="1" customHeight="1"/>
    <row r="30" ht="15.75" hidden="1" customHeight="1"/>
    <row r="31" ht="15.75" hidden="1" customHeight="1"/>
    <row r="32"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D$1:$D$1000">
    <filterColumn colId="0">
      <filters>
        <filter val="2023"/>
      </filters>
    </filterColumn>
  </autoFilter>
  <printOptions/>
  <pageMargins bottom="0.75" footer="0.0" header="0.0" left="0.7" right="0.7" top="0.75"/>
  <pageSetup orientation="landscape"/>
  <drawing r:id="rId1"/>
</worksheet>
</file>