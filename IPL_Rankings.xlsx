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5.xml"/>
  <Override ContentType="application/vnd.ms-excel.slicer+xml" PartName="/xl/slicers/slicer4.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formance Dashboard" sheetId="1" r:id="rId5"/>
    <sheet state="visible" name="VFM" sheetId="2" r:id="rId6"/>
    <sheet state="visible" name="2022_Stats" sheetId="3" r:id="rId7"/>
    <sheet state="hidden" name="2022_Pivot" sheetId="4" r:id="rId8"/>
    <sheet state="visible" name="2023_Stats" sheetId="5" r:id="rId9"/>
    <sheet state="hidden" name="2023_pivot" sheetId="6" r:id="rId10"/>
    <sheet state="hidden" name="Dashboard" sheetId="7" r:id="rId11"/>
    <sheet state="visible" name="All_Stats" sheetId="8" r:id="rId12"/>
    <sheet state="hidden" name="Pivot Table 5" sheetId="9" r:id="rId13"/>
    <sheet state="hidden" name="Batting" sheetId="10" r:id="rId14"/>
    <sheet state="hidden" name="Bowling" sheetId="11" r:id="rId15"/>
  </sheets>
  <definedNames>
    <definedName hidden="1" localSheetId="1" name="_xlnm._FilterDatabase">VFM!$D$1:$D$1000</definedName>
    <definedName hidden="1" localSheetId="9" name="_xlnm._FilterDatabase">Batting!$D$1:$D$1000</definedName>
    <definedName hidden="1" localSheetId="10" name="_xlnm._FilterDatabase">Bowling!$D$1:$D$1000</definedName>
    <definedName hidden="1" localSheetId="2" name="Z_70944590_CD69_4157_833B_543467CEC00B_.wvu.FilterData">'2022_Stats'!$A$1:$Q$21</definedName>
    <definedName hidden="1" localSheetId="2" name="Z_70944590_CD69_4157_833B_543467CEC00B_.wvu.FilterData">'2022_Stats'!$A$1:$Q$21</definedName>
    <definedName hidden="1" localSheetId="2" name="Z_70944590_CD69_4157_833B_543467CEC00B_.wvu.FilterData">'2022_Stats'!$A$1:$Q$21</definedName>
    <definedName hidden="1" localSheetId="4" name="Z_70944590_CD69_4157_833B_543467CEC00B_.wvu.FilterData">'2023_Stats'!$A$1:$Q$21</definedName>
    <definedName hidden="1" localSheetId="4" name="Z_70944590_CD69_4157_833B_543467CEC00B_.wvu.FilterData">'2023_Stats'!$A$1:$Q$21</definedName>
    <definedName hidden="1" localSheetId="4" name="Z_70944590_CD69_4157_833B_543467CEC00B_.wvu.FilterData">'2023_Stats'!$A$1:$Q$21</definedName>
    <definedName hidden="1" localSheetId="7" name="Z_70944590_CD69_4157_833B_543467CEC00B_.wvu.FilterData">All_Stats!$A$1:$Q$41</definedName>
    <definedName hidden="1" localSheetId="7" name="Z_70944590_CD69_4157_833B_543467CEC00B_.wvu.FilterData">All_Stats!$A$1:$Q$41</definedName>
    <definedName name="SlicerCache_Table_1_Col_1">#N/A</definedName>
    <definedName name="SlicerCache_Table_1_Col_2">#N/A</definedName>
    <definedName name="SlicerCache_Table_2_Col_1">#N/A</definedName>
    <definedName name="SlicerCache_Table_2_Col_2">#N/A</definedName>
    <definedName name="SlicerCache_Table_3_Col_1">#N/A</definedName>
    <definedName name="SlicerCache_Table_3_Col_2">#N/A</definedName>
    <definedName name="SlicerCache_Table_3_Col_4">#N/A</definedName>
  </definedNames>
  <calcPr/>
  <customWorkbookViews>
    <customWorkbookView activeSheetId="0" maximized="1" windowHeight="0" windowWidth="0" guid="{70944590-CD69-4157-833B-543467CEC00B}" name="Filter 1"/>
  </customWorkbookViews>
  <pivotCaches>
    <pivotCache cacheId="0" r:id="rId16"/>
    <pivotCache cacheId="1" r:id="rId17"/>
    <pivotCache cacheId="2" r:id="rId18"/>
  </pivotCaches>
  <extLst>
    <ext uri="{46BE6895-7355-4a93-B00E-2C351335B9C9}">
      <x15:slicerCaches>
        <x14:slicerCache r:id="rId19"/>
        <x14:slicerCache r:id="rId20"/>
        <x14:slicerCache r:id="rId21"/>
        <x14:slicerCache r:id="rId22"/>
        <x14:slicerCache r:id="rId23"/>
        <x14:slicerCache r:id="rId24"/>
        <x14:slicerCache r:id="rId25"/>
      </x15:slicerCaches>
    </ext>
  </extLst>
</workbook>
</file>

<file path=xl/sharedStrings.xml><?xml version="1.0" encoding="utf-8"?>
<sst xmlns="http://schemas.openxmlformats.org/spreadsheetml/2006/main" count="912" uniqueCount="63">
  <si>
    <t>PLAYER PERFORMANCE AND RANKINGS</t>
  </si>
  <si>
    <t>PLAYER RANKINGS</t>
  </si>
  <si>
    <t>player_name</t>
  </si>
  <si>
    <t>player_role</t>
  </si>
  <si>
    <t>team</t>
  </si>
  <si>
    <t>season</t>
  </si>
  <si>
    <t>sold_price_cr</t>
  </si>
  <si>
    <t>rating(percentile)</t>
  </si>
  <si>
    <t>IPL_RANK</t>
  </si>
  <si>
    <t>valueformoney(rating out of 100)</t>
  </si>
  <si>
    <t>stars</t>
  </si>
  <si>
    <t>Deepak Nair</t>
  </si>
  <si>
    <t>Bowler</t>
  </si>
  <si>
    <t>Hyderabad Hawks</t>
  </si>
  <si>
    <t>5 - Steal_Buy</t>
  </si>
  <si>
    <t>Priya Singh</t>
  </si>
  <si>
    <t>Kolkata Knights</t>
  </si>
  <si>
    <t>Suresh Rao</t>
  </si>
  <si>
    <t>Chennai Tigers</t>
  </si>
  <si>
    <t>Ankit Verma</t>
  </si>
  <si>
    <t>Batsman</t>
  </si>
  <si>
    <t>Kiran Mehta</t>
  </si>
  <si>
    <t>Mumbai Lions</t>
  </si>
  <si>
    <t>Chris Blake</t>
  </si>
  <si>
    <t>Delhi Dynamos</t>
  </si>
  <si>
    <t>Tom Sullivan</t>
  </si>
  <si>
    <t>Rajasthan Riders</t>
  </si>
  <si>
    <t>Luca Ferreira</t>
  </si>
  <si>
    <t>All-Rounder</t>
  </si>
  <si>
    <t>4 - Good_Buy</t>
  </si>
  <si>
    <t>Vikram Das</t>
  </si>
  <si>
    <t>Praveen Joshi</t>
  </si>
  <si>
    <t>Nathan Ford</t>
  </si>
  <si>
    <t>Punjab Royals</t>
  </si>
  <si>
    <t>3 - Fair_Buy</t>
  </si>
  <si>
    <t>Raj Sharma</t>
  </si>
  <si>
    <t>Arjun Patel</t>
  </si>
  <si>
    <t>Hamid Shaikh</t>
  </si>
  <si>
    <t>James Tanner</t>
  </si>
  <si>
    <t>Carlos Mendez</t>
  </si>
  <si>
    <t>Rohan Gill</t>
  </si>
  <si>
    <t>2 - Overpriced</t>
  </si>
  <si>
    <t>Brendon Chase</t>
  </si>
  <si>
    <t>Marco de Bruyn</t>
  </si>
  <si>
    <t>1 - Poor Buy</t>
  </si>
  <si>
    <t>Sanjay Kumar</t>
  </si>
  <si>
    <t>runs</t>
  </si>
  <si>
    <t>average</t>
  </si>
  <si>
    <t>strike_rate</t>
  </si>
  <si>
    <t>bdry_pct</t>
  </si>
  <si>
    <t>wickets</t>
  </si>
  <si>
    <t>economy</t>
  </si>
  <si>
    <t>wkt_per_match</t>
  </si>
  <si>
    <t>dot_ball_pct</t>
  </si>
  <si>
    <t>AVERAGE of valueformoney(rating out of 100)</t>
  </si>
  <si>
    <t>AVERAGE of rating(percentile)</t>
  </si>
  <si>
    <t>AVERAGE of sold_price_cr</t>
  </si>
  <si>
    <t>MIN of IPL_RANK</t>
  </si>
  <si>
    <t>PLAYER PERFORMANCE DASHBOARD</t>
  </si>
  <si>
    <t/>
  </si>
  <si>
    <t>SUM of IPL_RANK</t>
  </si>
  <si>
    <t>matches</t>
  </si>
  <si>
    <t>dot_pct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</si>
</sst>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38.0"/>
      <color rgb="FFFFFFFF"/>
      <name val="EB Garamond"/>
    </font>
    <font>
      <color theme="1"/>
      <name val="Arial"/>
      <scheme val="minor"/>
    </font>
    <font>
      <b/>
      <sz val="37.0"/>
      <color rgb="FFFFFFFF"/>
      <name val="Roboto Serif"/>
    </font>
    <font>
      <b/>
      <sz val="36.0"/>
      <color rgb="FFFFFFFF"/>
      <name val="Roboto Serif"/>
    </font>
    <font>
      <b/>
      <sz val="35.0"/>
      <color rgb="FFFFFFFF"/>
      <name val="Arial"/>
      <scheme val="minor"/>
    </font>
  </fonts>
  <fills count="4">
    <fill>
      <patternFill patternType="none"/>
    </fill>
    <fill>
      <patternFill patternType="lightGray"/>
    </fill>
    <fill>
      <patternFill patternType="solid">
        <fgColor rgb="FF666666"/>
        <bgColor rgb="FF666666"/>
      </patternFill>
    </fill>
    <fill>
      <patternFill patternType="solid">
        <fgColor rgb="FF434343"/>
        <bgColor rgb="FF43434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2" fontId="3" numFmtId="0" xfId="0" applyAlignment="1" applyFont="1">
      <alignment horizontal="center" readingOrder="0"/>
    </xf>
    <xf borderId="0" fillId="0" fontId="2" numFmtId="0" xfId="0" applyAlignment="1" applyFont="1">
      <alignment readingOrder="0"/>
    </xf>
    <xf borderId="0" fillId="0" fontId="2" numFmtId="0" xfId="0" applyFont="1"/>
    <xf borderId="0" fillId="3" fontId="4" numFmtId="0" xfId="0" applyAlignment="1" applyFill="1" applyFont="1">
      <alignment horizontal="center" readingOrder="0"/>
    </xf>
    <xf borderId="0" fillId="3" fontId="5" numFmtId="0" xfId="0" applyAlignment="1" applyFont="1">
      <alignment horizontal="center" readingOrder="0"/>
    </xf>
    <xf borderId="0" fillId="3" fontId="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2.xml"/><Relationship Id="rId22" Type="http://schemas.microsoft.com/office/2007/relationships/slicerCache" Target="slicerCaches/slicerCache4.xml"/><Relationship Id="rId21" Type="http://schemas.microsoft.com/office/2007/relationships/slicerCache" Target="slicerCaches/slicerCache3.xml"/><Relationship Id="rId24" Type="http://schemas.microsoft.com/office/2007/relationships/slicerCache" Target="slicerCaches/slicerCache6.xml"/><Relationship Id="rId23" Type="http://schemas.microsoft.com/office/2007/relationships/slicerCache" Target="slicerCaches/slicerCache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microsoft.com/office/2007/relationships/slicerCache" Target="slicerCaches/slicerCache7.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19" Type="http://schemas.microsoft.com/office/2007/relationships/slicerCache" Target="slicerCaches/slicerCache1.xml"/><Relationship Id="rId18" Type="http://schemas.openxmlformats.org/officeDocument/2006/relationships/pivotCacheDefinition" Target="pivotCache/pivotCacheDefinition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5B0F00"/>
                </a:solidFill>
                <a:latin typeface="+mn-lt"/>
              </a:defRPr>
            </a:pPr>
            <a:r>
              <a:rPr b="0">
                <a:solidFill>
                  <a:srgbClr val="5B0F00"/>
                </a:solidFill>
                <a:latin typeface="+mn-lt"/>
              </a:rPr>
              <a:t>PLAYER PERFORMANCE VS VALUE</a:t>
            </a:r>
          </a:p>
        </c:rich>
      </c:tx>
      <c:overlay val="0"/>
    </c:title>
    <c:plotArea>
      <c:layout/>
      <c:barChart>
        <c:barDir val="bar"/>
        <c:ser>
          <c:idx val="0"/>
          <c:order val="0"/>
          <c:tx>
            <c:strRef>
              <c:f>All_Stats!$G$1</c:f>
            </c:strRef>
          </c:tx>
          <c:spPr>
            <a:solidFill>
              <a:schemeClr val="accent1"/>
            </a:solidFill>
            <a:ln cmpd="sng">
              <a:noFill/>
            </a:ln>
          </c:spPr>
          <c:cat>
            <c:strRef>
              <c:f>All_Stats!$A$2:$A$41</c:f>
            </c:strRef>
          </c:cat>
          <c:val>
            <c:numRef>
              <c:f>All_Stats!$G$2:$G$41</c:f>
              <c:numCache/>
            </c:numRef>
          </c:val>
        </c:ser>
        <c:axId val="281090437"/>
        <c:axId val="1111578137"/>
      </c:barChart>
      <c:catAx>
        <c:axId val="28109043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11578137"/>
      </c:catAx>
      <c:valAx>
        <c:axId val="11115781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1090437"/>
        <c:crosses val="max"/>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5B0F00"/>
                </a:solidFill>
                <a:latin typeface="+mn-lt"/>
              </a:defRPr>
            </a:pPr>
            <a:r>
              <a:rPr b="0">
                <a:solidFill>
                  <a:srgbClr val="5B0F00"/>
                </a:solidFill>
                <a:latin typeface="+mn-lt"/>
              </a:rPr>
              <a:t>PRICE PAID VS PERFORMANCE</a:t>
            </a:r>
          </a:p>
        </c:rich>
      </c:tx>
      <c:overlay val="0"/>
    </c:title>
    <c:plotArea>
      <c:layout/>
      <c:bubbleChart>
        <c:ser>
          <c:idx val="0"/>
          <c:order val="0"/>
          <c:tx>
            <c:strRef>
              <c:f>All_Stats!$A$2</c:f>
            </c:strRef>
          </c:tx>
          <c:dLbls>
            <c:dLblPos val="ctr"/>
            <c:showLegendKey val="0"/>
            <c:showVal val="0"/>
            <c:showCatName val="0"/>
            <c:showSerName val="1"/>
            <c:showPercent val="0"/>
            <c:showBubbleSize val="0"/>
          </c:dLbls>
          <c:xVal>
            <c:strRef>
              <c:f>All_Stats!$E$2</c:f>
            </c:strRef>
          </c:xVal>
          <c:yVal>
            <c:numRef>
              <c:f>All_Stats!$F$2</c:f>
              <c:numCache/>
            </c:numRef>
          </c:yVal>
          <c:bubbleSize>
            <c:numRef>
              <c:f>All_Stats!$G$2</c:f>
            </c:numRef>
          </c:bubbleSize>
        </c:ser>
        <c:ser>
          <c:idx val="1"/>
          <c:order val="1"/>
          <c:tx>
            <c:strRef>
              <c:f>All_Stats!$A$3</c:f>
            </c:strRef>
          </c:tx>
          <c:dLbls>
            <c:dLblPos val="ctr"/>
            <c:showLegendKey val="0"/>
            <c:showVal val="0"/>
            <c:showCatName val="0"/>
            <c:showSerName val="1"/>
            <c:showPercent val="0"/>
            <c:showBubbleSize val="0"/>
          </c:dLbls>
          <c:xVal>
            <c:strRef>
              <c:f>All_Stats!$E$3</c:f>
            </c:strRef>
          </c:xVal>
          <c:yVal>
            <c:numRef>
              <c:f>All_Stats!$F$3</c:f>
              <c:numCache/>
            </c:numRef>
          </c:yVal>
          <c:bubbleSize>
            <c:numRef>
              <c:f>All_Stats!$G$3</c:f>
            </c:numRef>
          </c:bubbleSize>
        </c:ser>
        <c:ser>
          <c:idx val="2"/>
          <c:order val="2"/>
          <c:tx>
            <c:strRef>
              <c:f>All_Stats!$A$4</c:f>
            </c:strRef>
          </c:tx>
          <c:dLbls>
            <c:dLblPos val="ctr"/>
            <c:showLegendKey val="0"/>
            <c:showVal val="0"/>
            <c:showCatName val="0"/>
            <c:showSerName val="1"/>
            <c:showPercent val="0"/>
            <c:showBubbleSize val="0"/>
          </c:dLbls>
          <c:xVal>
            <c:strRef>
              <c:f>All_Stats!$E$4</c:f>
            </c:strRef>
          </c:xVal>
          <c:yVal>
            <c:numRef>
              <c:f>All_Stats!$F$4</c:f>
              <c:numCache/>
            </c:numRef>
          </c:yVal>
          <c:bubbleSize>
            <c:numRef>
              <c:f>All_Stats!$G$4</c:f>
            </c:numRef>
          </c:bubbleSize>
        </c:ser>
        <c:ser>
          <c:idx val="3"/>
          <c:order val="3"/>
          <c:tx>
            <c:strRef>
              <c:f>All_Stats!$A$5</c:f>
            </c:strRef>
          </c:tx>
          <c:dLbls>
            <c:dLblPos val="ctr"/>
            <c:showLegendKey val="0"/>
            <c:showVal val="0"/>
            <c:showCatName val="0"/>
            <c:showSerName val="1"/>
            <c:showPercent val="0"/>
            <c:showBubbleSize val="0"/>
          </c:dLbls>
          <c:xVal>
            <c:strRef>
              <c:f>All_Stats!$E$5</c:f>
            </c:strRef>
          </c:xVal>
          <c:yVal>
            <c:numRef>
              <c:f>All_Stats!$F$5</c:f>
              <c:numCache/>
            </c:numRef>
          </c:yVal>
          <c:bubbleSize>
            <c:numRef>
              <c:f>All_Stats!$G$5</c:f>
            </c:numRef>
          </c:bubbleSize>
        </c:ser>
        <c:ser>
          <c:idx val="4"/>
          <c:order val="4"/>
          <c:tx>
            <c:strRef>
              <c:f>All_Stats!$A$6</c:f>
            </c:strRef>
          </c:tx>
          <c:dLbls>
            <c:dLblPos val="ctr"/>
            <c:showLegendKey val="0"/>
            <c:showVal val="0"/>
            <c:showCatName val="0"/>
            <c:showSerName val="1"/>
            <c:showPercent val="0"/>
            <c:showBubbleSize val="0"/>
          </c:dLbls>
          <c:xVal>
            <c:strRef>
              <c:f>All_Stats!$E$6</c:f>
            </c:strRef>
          </c:xVal>
          <c:yVal>
            <c:numRef>
              <c:f>All_Stats!$F$6</c:f>
              <c:numCache/>
            </c:numRef>
          </c:yVal>
          <c:bubbleSize>
            <c:numRef>
              <c:f>All_Stats!$G$6</c:f>
            </c:numRef>
          </c:bubbleSize>
        </c:ser>
        <c:ser>
          <c:idx val="5"/>
          <c:order val="5"/>
          <c:tx>
            <c:strRef>
              <c:f>All_Stats!$A$7</c:f>
            </c:strRef>
          </c:tx>
          <c:dLbls>
            <c:dLblPos val="ctr"/>
            <c:showLegendKey val="0"/>
            <c:showVal val="0"/>
            <c:showCatName val="0"/>
            <c:showSerName val="1"/>
            <c:showPercent val="0"/>
            <c:showBubbleSize val="0"/>
          </c:dLbls>
          <c:xVal>
            <c:strRef>
              <c:f>All_Stats!$E$7</c:f>
            </c:strRef>
          </c:xVal>
          <c:yVal>
            <c:numRef>
              <c:f>All_Stats!$F$7</c:f>
              <c:numCache/>
            </c:numRef>
          </c:yVal>
          <c:bubbleSize>
            <c:numRef>
              <c:f>All_Stats!$G$7</c:f>
            </c:numRef>
          </c:bubbleSize>
        </c:ser>
        <c:ser>
          <c:idx val="6"/>
          <c:order val="6"/>
          <c:tx>
            <c:strRef>
              <c:f>All_Stats!$A$8</c:f>
            </c:strRef>
          </c:tx>
          <c:dLbls>
            <c:dLblPos val="ctr"/>
            <c:showLegendKey val="0"/>
            <c:showVal val="0"/>
            <c:showCatName val="0"/>
            <c:showSerName val="1"/>
            <c:showPercent val="0"/>
            <c:showBubbleSize val="0"/>
          </c:dLbls>
          <c:xVal>
            <c:strRef>
              <c:f>All_Stats!$E$8</c:f>
            </c:strRef>
          </c:xVal>
          <c:yVal>
            <c:numRef>
              <c:f>All_Stats!$F$8</c:f>
              <c:numCache/>
            </c:numRef>
          </c:yVal>
          <c:bubbleSize>
            <c:numRef>
              <c:f>All_Stats!$G$8</c:f>
            </c:numRef>
          </c:bubbleSize>
        </c:ser>
        <c:ser>
          <c:idx val="7"/>
          <c:order val="7"/>
          <c:tx>
            <c:strRef>
              <c:f>All_Stats!$A$9</c:f>
            </c:strRef>
          </c:tx>
          <c:dLbls>
            <c:dLblPos val="ctr"/>
            <c:showLegendKey val="0"/>
            <c:showVal val="0"/>
            <c:showCatName val="0"/>
            <c:showSerName val="1"/>
            <c:showPercent val="0"/>
            <c:showBubbleSize val="0"/>
          </c:dLbls>
          <c:xVal>
            <c:strRef>
              <c:f>All_Stats!$E$9</c:f>
            </c:strRef>
          </c:xVal>
          <c:yVal>
            <c:numRef>
              <c:f>All_Stats!$F$9</c:f>
              <c:numCache/>
            </c:numRef>
          </c:yVal>
          <c:bubbleSize>
            <c:numRef>
              <c:f>All_Stats!$G$9</c:f>
            </c:numRef>
          </c:bubbleSize>
        </c:ser>
        <c:ser>
          <c:idx val="8"/>
          <c:order val="8"/>
          <c:tx>
            <c:strRef>
              <c:f>All_Stats!$A$10</c:f>
            </c:strRef>
          </c:tx>
          <c:dLbls>
            <c:dLblPos val="ctr"/>
            <c:showLegendKey val="0"/>
            <c:showVal val="0"/>
            <c:showCatName val="0"/>
            <c:showSerName val="1"/>
            <c:showPercent val="0"/>
            <c:showBubbleSize val="0"/>
          </c:dLbls>
          <c:xVal>
            <c:strRef>
              <c:f>All_Stats!$E$10</c:f>
            </c:strRef>
          </c:xVal>
          <c:yVal>
            <c:numRef>
              <c:f>All_Stats!$F$10</c:f>
              <c:numCache/>
            </c:numRef>
          </c:yVal>
          <c:bubbleSize>
            <c:numRef>
              <c:f>All_Stats!$G$10</c:f>
            </c:numRef>
          </c:bubbleSize>
        </c:ser>
        <c:ser>
          <c:idx val="9"/>
          <c:order val="9"/>
          <c:tx>
            <c:strRef>
              <c:f>All_Stats!$A$11</c:f>
            </c:strRef>
          </c:tx>
          <c:dLbls>
            <c:dLblPos val="ctr"/>
            <c:showLegendKey val="0"/>
            <c:showVal val="0"/>
            <c:showCatName val="0"/>
            <c:showSerName val="1"/>
            <c:showPercent val="0"/>
            <c:showBubbleSize val="0"/>
          </c:dLbls>
          <c:xVal>
            <c:strRef>
              <c:f>All_Stats!$E$11</c:f>
            </c:strRef>
          </c:xVal>
          <c:yVal>
            <c:numRef>
              <c:f>All_Stats!$F$11</c:f>
              <c:numCache/>
            </c:numRef>
          </c:yVal>
          <c:bubbleSize>
            <c:numRef>
              <c:f>All_Stats!$G$11</c:f>
            </c:numRef>
          </c:bubbleSize>
        </c:ser>
        <c:ser>
          <c:idx val="10"/>
          <c:order val="10"/>
          <c:tx>
            <c:strRef>
              <c:f>All_Stats!$A$12</c:f>
            </c:strRef>
          </c:tx>
          <c:dLbls>
            <c:dLblPos val="ctr"/>
            <c:showLegendKey val="0"/>
            <c:showVal val="0"/>
            <c:showCatName val="0"/>
            <c:showSerName val="1"/>
            <c:showPercent val="0"/>
            <c:showBubbleSize val="0"/>
          </c:dLbls>
          <c:xVal>
            <c:strRef>
              <c:f>All_Stats!$E$12</c:f>
            </c:strRef>
          </c:xVal>
          <c:yVal>
            <c:numRef>
              <c:f>All_Stats!$F$12</c:f>
              <c:numCache/>
            </c:numRef>
          </c:yVal>
          <c:bubbleSize>
            <c:numRef>
              <c:f>All_Stats!$G$12</c:f>
            </c:numRef>
          </c:bubbleSize>
        </c:ser>
        <c:ser>
          <c:idx val="11"/>
          <c:order val="11"/>
          <c:tx>
            <c:strRef>
              <c:f>All_Stats!$A$13</c:f>
            </c:strRef>
          </c:tx>
          <c:dLbls>
            <c:dLblPos val="ctr"/>
            <c:showLegendKey val="0"/>
            <c:showVal val="0"/>
            <c:showCatName val="0"/>
            <c:showSerName val="1"/>
            <c:showPercent val="0"/>
            <c:showBubbleSize val="0"/>
          </c:dLbls>
          <c:xVal>
            <c:strRef>
              <c:f>All_Stats!$E$13</c:f>
            </c:strRef>
          </c:xVal>
          <c:yVal>
            <c:numRef>
              <c:f>All_Stats!$F$13</c:f>
              <c:numCache/>
            </c:numRef>
          </c:yVal>
          <c:bubbleSize>
            <c:numRef>
              <c:f>All_Stats!$G$13</c:f>
            </c:numRef>
          </c:bubbleSize>
        </c:ser>
        <c:ser>
          <c:idx val="12"/>
          <c:order val="12"/>
          <c:tx>
            <c:strRef>
              <c:f>All_Stats!$A$14</c:f>
            </c:strRef>
          </c:tx>
          <c:dLbls>
            <c:dLblPos val="ctr"/>
            <c:showLegendKey val="0"/>
            <c:showVal val="0"/>
            <c:showCatName val="0"/>
            <c:showSerName val="1"/>
            <c:showPercent val="0"/>
            <c:showBubbleSize val="0"/>
          </c:dLbls>
          <c:xVal>
            <c:strRef>
              <c:f>All_Stats!$E$14</c:f>
            </c:strRef>
          </c:xVal>
          <c:yVal>
            <c:numRef>
              <c:f>All_Stats!$F$14</c:f>
              <c:numCache/>
            </c:numRef>
          </c:yVal>
          <c:bubbleSize>
            <c:numRef>
              <c:f>All_Stats!$G$14</c:f>
            </c:numRef>
          </c:bubbleSize>
        </c:ser>
        <c:ser>
          <c:idx val="13"/>
          <c:order val="13"/>
          <c:tx>
            <c:strRef>
              <c:f>All_Stats!$A$15</c:f>
            </c:strRef>
          </c:tx>
          <c:dLbls>
            <c:dLblPos val="ctr"/>
            <c:showLegendKey val="0"/>
            <c:showVal val="0"/>
            <c:showCatName val="0"/>
            <c:showSerName val="1"/>
            <c:showPercent val="0"/>
            <c:showBubbleSize val="0"/>
          </c:dLbls>
          <c:xVal>
            <c:strRef>
              <c:f>All_Stats!$E$15</c:f>
            </c:strRef>
          </c:xVal>
          <c:yVal>
            <c:numRef>
              <c:f>All_Stats!$F$15</c:f>
              <c:numCache/>
            </c:numRef>
          </c:yVal>
          <c:bubbleSize>
            <c:numRef>
              <c:f>All_Stats!$G$15</c:f>
            </c:numRef>
          </c:bubbleSize>
        </c:ser>
        <c:ser>
          <c:idx val="14"/>
          <c:order val="14"/>
          <c:tx>
            <c:strRef>
              <c:f>All_Stats!$A$16</c:f>
            </c:strRef>
          </c:tx>
          <c:dLbls>
            <c:dLblPos val="ctr"/>
            <c:showLegendKey val="0"/>
            <c:showVal val="0"/>
            <c:showCatName val="0"/>
            <c:showSerName val="1"/>
            <c:showPercent val="0"/>
            <c:showBubbleSize val="0"/>
          </c:dLbls>
          <c:xVal>
            <c:strRef>
              <c:f>All_Stats!$E$16</c:f>
            </c:strRef>
          </c:xVal>
          <c:yVal>
            <c:numRef>
              <c:f>All_Stats!$F$16</c:f>
              <c:numCache/>
            </c:numRef>
          </c:yVal>
          <c:bubbleSize>
            <c:numRef>
              <c:f>All_Stats!$G$16</c:f>
            </c:numRef>
          </c:bubbleSize>
        </c:ser>
        <c:ser>
          <c:idx val="15"/>
          <c:order val="15"/>
          <c:tx>
            <c:strRef>
              <c:f>All_Stats!$A$17</c:f>
            </c:strRef>
          </c:tx>
          <c:dLbls>
            <c:dLblPos val="ctr"/>
            <c:showLegendKey val="0"/>
            <c:showVal val="0"/>
            <c:showCatName val="0"/>
            <c:showSerName val="1"/>
            <c:showPercent val="0"/>
            <c:showBubbleSize val="0"/>
          </c:dLbls>
          <c:xVal>
            <c:strRef>
              <c:f>All_Stats!$E$17</c:f>
            </c:strRef>
          </c:xVal>
          <c:yVal>
            <c:numRef>
              <c:f>All_Stats!$F$17</c:f>
              <c:numCache/>
            </c:numRef>
          </c:yVal>
          <c:bubbleSize>
            <c:numRef>
              <c:f>All_Stats!$G$17</c:f>
            </c:numRef>
          </c:bubbleSize>
        </c:ser>
        <c:ser>
          <c:idx val="16"/>
          <c:order val="16"/>
          <c:tx>
            <c:strRef>
              <c:f>All_Stats!$A$18</c:f>
            </c:strRef>
          </c:tx>
          <c:dLbls>
            <c:dLblPos val="ctr"/>
            <c:showLegendKey val="0"/>
            <c:showVal val="0"/>
            <c:showCatName val="0"/>
            <c:showSerName val="1"/>
            <c:showPercent val="0"/>
            <c:showBubbleSize val="0"/>
          </c:dLbls>
          <c:xVal>
            <c:strRef>
              <c:f>All_Stats!$E$18</c:f>
            </c:strRef>
          </c:xVal>
          <c:yVal>
            <c:numRef>
              <c:f>All_Stats!$F$18</c:f>
              <c:numCache/>
            </c:numRef>
          </c:yVal>
          <c:bubbleSize>
            <c:numRef>
              <c:f>All_Stats!$G$18</c:f>
            </c:numRef>
          </c:bubbleSize>
        </c:ser>
        <c:ser>
          <c:idx val="17"/>
          <c:order val="17"/>
          <c:tx>
            <c:strRef>
              <c:f>All_Stats!$A$19</c:f>
            </c:strRef>
          </c:tx>
          <c:dLbls>
            <c:dLblPos val="ctr"/>
            <c:showLegendKey val="0"/>
            <c:showVal val="0"/>
            <c:showCatName val="0"/>
            <c:showSerName val="1"/>
            <c:showPercent val="0"/>
            <c:showBubbleSize val="0"/>
          </c:dLbls>
          <c:xVal>
            <c:strRef>
              <c:f>All_Stats!$E$19</c:f>
            </c:strRef>
          </c:xVal>
          <c:yVal>
            <c:numRef>
              <c:f>All_Stats!$F$19</c:f>
              <c:numCache/>
            </c:numRef>
          </c:yVal>
          <c:bubbleSize>
            <c:numRef>
              <c:f>All_Stats!$G$19</c:f>
            </c:numRef>
          </c:bubbleSize>
        </c:ser>
        <c:ser>
          <c:idx val="18"/>
          <c:order val="18"/>
          <c:tx>
            <c:strRef>
              <c:f>All_Stats!$A$20</c:f>
            </c:strRef>
          </c:tx>
          <c:dLbls>
            <c:dLblPos val="ctr"/>
            <c:showLegendKey val="0"/>
            <c:showVal val="0"/>
            <c:showCatName val="0"/>
            <c:showSerName val="1"/>
            <c:showPercent val="0"/>
            <c:showBubbleSize val="0"/>
          </c:dLbls>
          <c:xVal>
            <c:strRef>
              <c:f>All_Stats!$E$20</c:f>
            </c:strRef>
          </c:xVal>
          <c:yVal>
            <c:numRef>
              <c:f>All_Stats!$F$20</c:f>
              <c:numCache/>
            </c:numRef>
          </c:yVal>
          <c:bubbleSize>
            <c:numRef>
              <c:f>All_Stats!$G$20</c:f>
            </c:numRef>
          </c:bubbleSize>
        </c:ser>
        <c:ser>
          <c:idx val="19"/>
          <c:order val="19"/>
          <c:tx>
            <c:strRef>
              <c:f>All_Stats!$A$21</c:f>
            </c:strRef>
          </c:tx>
          <c:dLbls>
            <c:dLblPos val="ctr"/>
            <c:showLegendKey val="0"/>
            <c:showVal val="0"/>
            <c:showCatName val="0"/>
            <c:showSerName val="1"/>
            <c:showPercent val="0"/>
            <c:showBubbleSize val="0"/>
          </c:dLbls>
          <c:xVal>
            <c:strRef>
              <c:f>All_Stats!$E$21</c:f>
            </c:strRef>
          </c:xVal>
          <c:yVal>
            <c:numRef>
              <c:f>All_Stats!$F$21</c:f>
              <c:numCache/>
            </c:numRef>
          </c:yVal>
          <c:bubbleSize>
            <c:numRef>
              <c:f>All_Stats!$G$21</c:f>
            </c:numRef>
          </c:bubbleSize>
        </c:ser>
        <c:ser>
          <c:idx val="20"/>
          <c:order val="20"/>
          <c:tx>
            <c:strRef>
              <c:f>All_Stats!$A$22</c:f>
            </c:strRef>
          </c:tx>
          <c:dLbls>
            <c:dLblPos val="ctr"/>
            <c:showLegendKey val="0"/>
            <c:showVal val="0"/>
            <c:showCatName val="0"/>
            <c:showSerName val="1"/>
            <c:showPercent val="0"/>
            <c:showBubbleSize val="0"/>
          </c:dLbls>
          <c:xVal>
            <c:strRef>
              <c:f>All_Stats!$E$22</c:f>
            </c:strRef>
          </c:xVal>
          <c:yVal>
            <c:numRef>
              <c:f>All_Stats!$F$22</c:f>
              <c:numCache/>
            </c:numRef>
          </c:yVal>
          <c:bubbleSize>
            <c:numRef>
              <c:f>All_Stats!$G$22</c:f>
            </c:numRef>
          </c:bubbleSize>
        </c:ser>
        <c:ser>
          <c:idx val="21"/>
          <c:order val="21"/>
          <c:tx>
            <c:strRef>
              <c:f>All_Stats!$A$23</c:f>
            </c:strRef>
          </c:tx>
          <c:dLbls>
            <c:dLblPos val="ctr"/>
            <c:showLegendKey val="0"/>
            <c:showVal val="0"/>
            <c:showCatName val="0"/>
            <c:showSerName val="1"/>
            <c:showPercent val="0"/>
            <c:showBubbleSize val="0"/>
          </c:dLbls>
          <c:xVal>
            <c:strRef>
              <c:f>All_Stats!$E$23</c:f>
            </c:strRef>
          </c:xVal>
          <c:yVal>
            <c:numRef>
              <c:f>All_Stats!$F$23</c:f>
              <c:numCache/>
            </c:numRef>
          </c:yVal>
          <c:bubbleSize>
            <c:numRef>
              <c:f>All_Stats!$G$23</c:f>
            </c:numRef>
          </c:bubbleSize>
        </c:ser>
        <c:ser>
          <c:idx val="22"/>
          <c:order val="22"/>
          <c:tx>
            <c:strRef>
              <c:f>All_Stats!$A$24</c:f>
            </c:strRef>
          </c:tx>
          <c:dLbls>
            <c:dLblPos val="ctr"/>
            <c:showLegendKey val="0"/>
            <c:showVal val="0"/>
            <c:showCatName val="0"/>
            <c:showSerName val="1"/>
            <c:showPercent val="0"/>
            <c:showBubbleSize val="0"/>
          </c:dLbls>
          <c:xVal>
            <c:strRef>
              <c:f>All_Stats!$E$24</c:f>
            </c:strRef>
          </c:xVal>
          <c:yVal>
            <c:numRef>
              <c:f>All_Stats!$F$24</c:f>
              <c:numCache/>
            </c:numRef>
          </c:yVal>
          <c:bubbleSize>
            <c:numRef>
              <c:f>All_Stats!$G$24</c:f>
            </c:numRef>
          </c:bubbleSize>
        </c:ser>
        <c:ser>
          <c:idx val="23"/>
          <c:order val="23"/>
          <c:tx>
            <c:strRef>
              <c:f>All_Stats!$A$25</c:f>
            </c:strRef>
          </c:tx>
          <c:dLbls>
            <c:dLblPos val="ctr"/>
            <c:showLegendKey val="0"/>
            <c:showVal val="0"/>
            <c:showCatName val="0"/>
            <c:showSerName val="1"/>
            <c:showPercent val="0"/>
            <c:showBubbleSize val="0"/>
          </c:dLbls>
          <c:xVal>
            <c:strRef>
              <c:f>All_Stats!$E$25</c:f>
            </c:strRef>
          </c:xVal>
          <c:yVal>
            <c:numRef>
              <c:f>All_Stats!$F$25</c:f>
              <c:numCache/>
            </c:numRef>
          </c:yVal>
          <c:bubbleSize>
            <c:numRef>
              <c:f>All_Stats!$G$25</c:f>
            </c:numRef>
          </c:bubbleSize>
        </c:ser>
        <c:ser>
          <c:idx val="24"/>
          <c:order val="24"/>
          <c:tx>
            <c:strRef>
              <c:f>All_Stats!$A$26</c:f>
            </c:strRef>
          </c:tx>
          <c:dLbls>
            <c:dLblPos val="ctr"/>
            <c:showLegendKey val="0"/>
            <c:showVal val="0"/>
            <c:showCatName val="0"/>
            <c:showSerName val="1"/>
            <c:showPercent val="0"/>
            <c:showBubbleSize val="0"/>
          </c:dLbls>
          <c:xVal>
            <c:strRef>
              <c:f>All_Stats!$E$26</c:f>
            </c:strRef>
          </c:xVal>
          <c:yVal>
            <c:numRef>
              <c:f>All_Stats!$F$26</c:f>
              <c:numCache/>
            </c:numRef>
          </c:yVal>
          <c:bubbleSize>
            <c:numRef>
              <c:f>All_Stats!$G$26</c:f>
            </c:numRef>
          </c:bubbleSize>
        </c:ser>
        <c:ser>
          <c:idx val="25"/>
          <c:order val="25"/>
          <c:tx>
            <c:strRef>
              <c:f>All_Stats!$A$27</c:f>
            </c:strRef>
          </c:tx>
          <c:dLbls>
            <c:dLblPos val="ctr"/>
            <c:showLegendKey val="0"/>
            <c:showVal val="0"/>
            <c:showCatName val="0"/>
            <c:showSerName val="1"/>
            <c:showPercent val="0"/>
            <c:showBubbleSize val="0"/>
          </c:dLbls>
          <c:xVal>
            <c:strRef>
              <c:f>All_Stats!$E$27</c:f>
            </c:strRef>
          </c:xVal>
          <c:yVal>
            <c:numRef>
              <c:f>All_Stats!$F$27</c:f>
              <c:numCache/>
            </c:numRef>
          </c:yVal>
          <c:bubbleSize>
            <c:numRef>
              <c:f>All_Stats!$G$27</c:f>
            </c:numRef>
          </c:bubbleSize>
        </c:ser>
        <c:ser>
          <c:idx val="26"/>
          <c:order val="26"/>
          <c:tx>
            <c:strRef>
              <c:f>All_Stats!$A$28</c:f>
            </c:strRef>
          </c:tx>
          <c:dLbls>
            <c:dLblPos val="ctr"/>
            <c:showLegendKey val="0"/>
            <c:showVal val="0"/>
            <c:showCatName val="0"/>
            <c:showSerName val="1"/>
            <c:showPercent val="0"/>
            <c:showBubbleSize val="0"/>
          </c:dLbls>
          <c:xVal>
            <c:strRef>
              <c:f>All_Stats!$E$28</c:f>
            </c:strRef>
          </c:xVal>
          <c:yVal>
            <c:numRef>
              <c:f>All_Stats!$F$28</c:f>
              <c:numCache/>
            </c:numRef>
          </c:yVal>
          <c:bubbleSize>
            <c:numRef>
              <c:f>All_Stats!$G$28</c:f>
            </c:numRef>
          </c:bubbleSize>
        </c:ser>
        <c:ser>
          <c:idx val="27"/>
          <c:order val="27"/>
          <c:tx>
            <c:strRef>
              <c:f>All_Stats!$A$29</c:f>
            </c:strRef>
          </c:tx>
          <c:dLbls>
            <c:dLblPos val="ctr"/>
            <c:showLegendKey val="0"/>
            <c:showVal val="0"/>
            <c:showCatName val="0"/>
            <c:showSerName val="1"/>
            <c:showPercent val="0"/>
            <c:showBubbleSize val="0"/>
          </c:dLbls>
          <c:xVal>
            <c:strRef>
              <c:f>All_Stats!$E$29</c:f>
            </c:strRef>
          </c:xVal>
          <c:yVal>
            <c:numRef>
              <c:f>All_Stats!$F$29</c:f>
              <c:numCache/>
            </c:numRef>
          </c:yVal>
          <c:bubbleSize>
            <c:numRef>
              <c:f>All_Stats!$G$29</c:f>
            </c:numRef>
          </c:bubbleSize>
        </c:ser>
        <c:ser>
          <c:idx val="28"/>
          <c:order val="28"/>
          <c:tx>
            <c:strRef>
              <c:f>All_Stats!$A$30</c:f>
            </c:strRef>
          </c:tx>
          <c:dLbls>
            <c:dLblPos val="ctr"/>
            <c:showLegendKey val="0"/>
            <c:showVal val="0"/>
            <c:showCatName val="0"/>
            <c:showSerName val="1"/>
            <c:showPercent val="0"/>
            <c:showBubbleSize val="0"/>
          </c:dLbls>
          <c:xVal>
            <c:strRef>
              <c:f>All_Stats!$E$30</c:f>
            </c:strRef>
          </c:xVal>
          <c:yVal>
            <c:numRef>
              <c:f>All_Stats!$F$30</c:f>
              <c:numCache/>
            </c:numRef>
          </c:yVal>
          <c:bubbleSize>
            <c:numRef>
              <c:f>All_Stats!$G$30</c:f>
            </c:numRef>
          </c:bubbleSize>
        </c:ser>
        <c:ser>
          <c:idx val="29"/>
          <c:order val="29"/>
          <c:tx>
            <c:strRef>
              <c:f>All_Stats!$A$31</c:f>
            </c:strRef>
          </c:tx>
          <c:dLbls>
            <c:dLblPos val="ctr"/>
            <c:showLegendKey val="0"/>
            <c:showVal val="0"/>
            <c:showCatName val="0"/>
            <c:showSerName val="1"/>
            <c:showPercent val="0"/>
            <c:showBubbleSize val="0"/>
          </c:dLbls>
          <c:xVal>
            <c:strRef>
              <c:f>All_Stats!$E$31</c:f>
            </c:strRef>
          </c:xVal>
          <c:yVal>
            <c:numRef>
              <c:f>All_Stats!$F$31</c:f>
              <c:numCache/>
            </c:numRef>
          </c:yVal>
          <c:bubbleSize>
            <c:numRef>
              <c:f>All_Stats!$G$31</c:f>
            </c:numRef>
          </c:bubbleSize>
        </c:ser>
        <c:ser>
          <c:idx val="30"/>
          <c:order val="30"/>
          <c:tx>
            <c:strRef>
              <c:f>All_Stats!$A$32</c:f>
            </c:strRef>
          </c:tx>
          <c:dLbls>
            <c:dLblPos val="ctr"/>
            <c:showLegendKey val="0"/>
            <c:showVal val="0"/>
            <c:showCatName val="0"/>
            <c:showSerName val="1"/>
            <c:showPercent val="0"/>
            <c:showBubbleSize val="0"/>
          </c:dLbls>
          <c:xVal>
            <c:strRef>
              <c:f>All_Stats!$E$32</c:f>
            </c:strRef>
          </c:xVal>
          <c:yVal>
            <c:numRef>
              <c:f>All_Stats!$F$32</c:f>
              <c:numCache/>
            </c:numRef>
          </c:yVal>
          <c:bubbleSize>
            <c:numRef>
              <c:f>All_Stats!$G$32</c:f>
            </c:numRef>
          </c:bubbleSize>
        </c:ser>
        <c:ser>
          <c:idx val="31"/>
          <c:order val="31"/>
          <c:tx>
            <c:strRef>
              <c:f>All_Stats!$A$33</c:f>
            </c:strRef>
          </c:tx>
          <c:dLbls>
            <c:dLblPos val="ctr"/>
            <c:showLegendKey val="0"/>
            <c:showVal val="0"/>
            <c:showCatName val="0"/>
            <c:showSerName val="1"/>
            <c:showPercent val="0"/>
            <c:showBubbleSize val="0"/>
          </c:dLbls>
          <c:xVal>
            <c:strRef>
              <c:f>All_Stats!$E$33</c:f>
            </c:strRef>
          </c:xVal>
          <c:yVal>
            <c:numRef>
              <c:f>All_Stats!$F$33</c:f>
              <c:numCache/>
            </c:numRef>
          </c:yVal>
          <c:bubbleSize>
            <c:numRef>
              <c:f>All_Stats!$G$33</c:f>
            </c:numRef>
          </c:bubbleSize>
        </c:ser>
        <c:ser>
          <c:idx val="32"/>
          <c:order val="32"/>
          <c:tx>
            <c:strRef>
              <c:f>All_Stats!$A$34</c:f>
            </c:strRef>
          </c:tx>
          <c:dLbls>
            <c:dLblPos val="ctr"/>
            <c:showLegendKey val="0"/>
            <c:showVal val="0"/>
            <c:showCatName val="0"/>
            <c:showSerName val="1"/>
            <c:showPercent val="0"/>
            <c:showBubbleSize val="0"/>
          </c:dLbls>
          <c:xVal>
            <c:strRef>
              <c:f>All_Stats!$E$34</c:f>
            </c:strRef>
          </c:xVal>
          <c:yVal>
            <c:numRef>
              <c:f>All_Stats!$F$34</c:f>
              <c:numCache/>
            </c:numRef>
          </c:yVal>
          <c:bubbleSize>
            <c:numRef>
              <c:f>All_Stats!$G$34</c:f>
            </c:numRef>
          </c:bubbleSize>
        </c:ser>
        <c:ser>
          <c:idx val="33"/>
          <c:order val="33"/>
          <c:tx>
            <c:strRef>
              <c:f>All_Stats!$A$35</c:f>
            </c:strRef>
          </c:tx>
          <c:dLbls>
            <c:dLblPos val="ctr"/>
            <c:showLegendKey val="0"/>
            <c:showVal val="0"/>
            <c:showCatName val="0"/>
            <c:showSerName val="1"/>
            <c:showPercent val="0"/>
            <c:showBubbleSize val="0"/>
          </c:dLbls>
          <c:xVal>
            <c:strRef>
              <c:f>All_Stats!$E$35</c:f>
            </c:strRef>
          </c:xVal>
          <c:yVal>
            <c:numRef>
              <c:f>All_Stats!$F$35</c:f>
              <c:numCache/>
            </c:numRef>
          </c:yVal>
          <c:bubbleSize>
            <c:numRef>
              <c:f>All_Stats!$G$35</c:f>
            </c:numRef>
          </c:bubbleSize>
        </c:ser>
        <c:ser>
          <c:idx val="34"/>
          <c:order val="34"/>
          <c:tx>
            <c:strRef>
              <c:f>All_Stats!$A$36</c:f>
            </c:strRef>
          </c:tx>
          <c:dLbls>
            <c:dLblPos val="ctr"/>
            <c:showLegendKey val="0"/>
            <c:showVal val="0"/>
            <c:showCatName val="0"/>
            <c:showSerName val="1"/>
            <c:showPercent val="0"/>
            <c:showBubbleSize val="0"/>
          </c:dLbls>
          <c:xVal>
            <c:strRef>
              <c:f>All_Stats!$E$36</c:f>
            </c:strRef>
          </c:xVal>
          <c:yVal>
            <c:numRef>
              <c:f>All_Stats!$F$36</c:f>
              <c:numCache/>
            </c:numRef>
          </c:yVal>
          <c:bubbleSize>
            <c:numRef>
              <c:f>All_Stats!$G$36</c:f>
            </c:numRef>
          </c:bubbleSize>
        </c:ser>
        <c:ser>
          <c:idx val="35"/>
          <c:order val="35"/>
          <c:tx>
            <c:strRef>
              <c:f>All_Stats!$A$37</c:f>
            </c:strRef>
          </c:tx>
          <c:dLbls>
            <c:dLblPos val="ctr"/>
            <c:showLegendKey val="0"/>
            <c:showVal val="0"/>
            <c:showCatName val="0"/>
            <c:showSerName val="1"/>
            <c:showPercent val="0"/>
            <c:showBubbleSize val="0"/>
          </c:dLbls>
          <c:xVal>
            <c:strRef>
              <c:f>All_Stats!$E$37</c:f>
            </c:strRef>
          </c:xVal>
          <c:yVal>
            <c:numRef>
              <c:f>All_Stats!$F$37</c:f>
              <c:numCache/>
            </c:numRef>
          </c:yVal>
          <c:bubbleSize>
            <c:numRef>
              <c:f>All_Stats!$G$37</c:f>
            </c:numRef>
          </c:bubbleSize>
        </c:ser>
        <c:ser>
          <c:idx val="36"/>
          <c:order val="36"/>
          <c:tx>
            <c:strRef>
              <c:f>All_Stats!$A$38</c:f>
            </c:strRef>
          </c:tx>
          <c:dLbls>
            <c:dLblPos val="ctr"/>
            <c:showLegendKey val="0"/>
            <c:showVal val="0"/>
            <c:showCatName val="0"/>
            <c:showSerName val="1"/>
            <c:showPercent val="0"/>
            <c:showBubbleSize val="0"/>
          </c:dLbls>
          <c:xVal>
            <c:strRef>
              <c:f>All_Stats!$E$38</c:f>
            </c:strRef>
          </c:xVal>
          <c:yVal>
            <c:numRef>
              <c:f>All_Stats!$F$38</c:f>
              <c:numCache/>
            </c:numRef>
          </c:yVal>
          <c:bubbleSize>
            <c:numRef>
              <c:f>All_Stats!$G$38</c:f>
            </c:numRef>
          </c:bubbleSize>
        </c:ser>
        <c:ser>
          <c:idx val="37"/>
          <c:order val="37"/>
          <c:tx>
            <c:strRef>
              <c:f>All_Stats!$A$39</c:f>
            </c:strRef>
          </c:tx>
          <c:dLbls>
            <c:dLblPos val="ctr"/>
            <c:showLegendKey val="0"/>
            <c:showVal val="0"/>
            <c:showCatName val="0"/>
            <c:showSerName val="1"/>
            <c:showPercent val="0"/>
            <c:showBubbleSize val="0"/>
          </c:dLbls>
          <c:xVal>
            <c:strRef>
              <c:f>All_Stats!$E$39</c:f>
            </c:strRef>
          </c:xVal>
          <c:yVal>
            <c:numRef>
              <c:f>All_Stats!$F$39</c:f>
              <c:numCache/>
            </c:numRef>
          </c:yVal>
          <c:bubbleSize>
            <c:numRef>
              <c:f>All_Stats!$G$39</c:f>
            </c:numRef>
          </c:bubbleSize>
        </c:ser>
        <c:ser>
          <c:idx val="38"/>
          <c:order val="38"/>
          <c:tx>
            <c:strRef>
              <c:f>All_Stats!$A$40</c:f>
            </c:strRef>
          </c:tx>
          <c:dLbls>
            <c:dLblPos val="ctr"/>
            <c:showLegendKey val="0"/>
            <c:showVal val="0"/>
            <c:showCatName val="0"/>
            <c:showSerName val="1"/>
            <c:showPercent val="0"/>
            <c:showBubbleSize val="0"/>
          </c:dLbls>
          <c:xVal>
            <c:strRef>
              <c:f>All_Stats!$E$40</c:f>
            </c:strRef>
          </c:xVal>
          <c:yVal>
            <c:numRef>
              <c:f>All_Stats!$F$40</c:f>
              <c:numCache/>
            </c:numRef>
          </c:yVal>
          <c:bubbleSize>
            <c:numRef>
              <c:f>All_Stats!$G$40</c:f>
            </c:numRef>
          </c:bubbleSize>
        </c:ser>
        <c:ser>
          <c:idx val="39"/>
          <c:order val="39"/>
          <c:tx>
            <c:strRef>
              <c:f>All_Stats!$A$41</c:f>
            </c:strRef>
          </c:tx>
          <c:dLbls>
            <c:dLblPos val="ctr"/>
            <c:showLegendKey val="0"/>
            <c:showVal val="0"/>
            <c:showCatName val="0"/>
            <c:showSerName val="1"/>
            <c:showPercent val="0"/>
            <c:showBubbleSize val="0"/>
          </c:dLbls>
          <c:xVal>
            <c:strRef>
              <c:f>All_Stats!$E$41</c:f>
            </c:strRef>
          </c:xVal>
          <c:yVal>
            <c:numRef>
              <c:f>All_Stats!$F$41</c:f>
              <c:numCache/>
            </c:numRef>
          </c:yVal>
          <c:bubbleSize>
            <c:numRef>
              <c:f>All_Stats!$G$41</c:f>
            </c:numRef>
          </c:bubbleSize>
        </c:ser>
        <c:axId val="1748980359"/>
        <c:axId val="1025471833"/>
      </c:bubbleChart>
      <c:valAx>
        <c:axId val="174898035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5471833"/>
      </c:valAx>
      <c:valAx>
        <c:axId val="1025471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8980359"/>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Paid vs Performance 2022</a:t>
            </a:r>
          </a:p>
        </c:rich>
      </c:tx>
      <c:overlay val="0"/>
    </c:title>
    <c:plotArea>
      <c:layout/>
      <c:bubbleChart>
        <c:ser>
          <c:idx val="0"/>
          <c:order val="0"/>
          <c:tx>
            <c:strRef>
              <c:f>'2022_Stats'!$E$2</c:f>
            </c:strRef>
          </c:tx>
          <c:dLbls>
            <c:dLblPos val="ctr"/>
            <c:showLegendKey val="0"/>
            <c:showVal val="0"/>
            <c:showCatName val="0"/>
            <c:showSerName val="1"/>
            <c:showPercent val="0"/>
            <c:showBubbleSize val="0"/>
          </c:dLbls>
          <c:xVal>
            <c:strRef>
              <c:f>'2022_Stats'!$F$2</c:f>
            </c:strRef>
          </c:xVal>
          <c:yVal>
            <c:numRef>
              <c:f>'2022_Stats'!$A$2</c:f>
              <c:numCache/>
            </c:numRef>
          </c:yVal>
          <c:bubbleSize>
            <c:numLit>
              <c:ptCount val="1"/>
              <c:pt idx="0">
                <c:v>1</c:v>
              </c:pt>
            </c:numLit>
          </c:bubbleSize>
        </c:ser>
        <c:ser>
          <c:idx val="1"/>
          <c:order val="1"/>
          <c:tx>
            <c:strRef>
              <c:f>'2022_Stats'!$E$3</c:f>
            </c:strRef>
          </c:tx>
          <c:dLbls>
            <c:dLblPos val="ctr"/>
            <c:showLegendKey val="0"/>
            <c:showVal val="0"/>
            <c:showCatName val="0"/>
            <c:showSerName val="1"/>
            <c:showPercent val="0"/>
            <c:showBubbleSize val="0"/>
          </c:dLbls>
          <c:xVal>
            <c:strRef>
              <c:f>'2022_Stats'!$F$3</c:f>
            </c:strRef>
          </c:xVal>
          <c:yVal>
            <c:numRef>
              <c:f>'2022_Stats'!$A$3</c:f>
              <c:numCache/>
            </c:numRef>
          </c:yVal>
          <c:bubbleSize>
            <c:numLit>
              <c:ptCount val="1"/>
              <c:pt idx="0">
                <c:v>1</c:v>
              </c:pt>
            </c:numLit>
          </c:bubbleSize>
        </c:ser>
        <c:ser>
          <c:idx val="2"/>
          <c:order val="2"/>
          <c:tx>
            <c:strRef>
              <c:f>'2022_Stats'!$E$4</c:f>
            </c:strRef>
          </c:tx>
          <c:dLbls>
            <c:dLblPos val="ctr"/>
            <c:showLegendKey val="0"/>
            <c:showVal val="0"/>
            <c:showCatName val="0"/>
            <c:showSerName val="1"/>
            <c:showPercent val="0"/>
            <c:showBubbleSize val="0"/>
          </c:dLbls>
          <c:xVal>
            <c:strRef>
              <c:f>'2022_Stats'!$F$4</c:f>
            </c:strRef>
          </c:xVal>
          <c:yVal>
            <c:numRef>
              <c:f>'2022_Stats'!$A$4</c:f>
              <c:numCache/>
            </c:numRef>
          </c:yVal>
          <c:bubbleSize>
            <c:numLit>
              <c:ptCount val="1"/>
              <c:pt idx="0">
                <c:v>1</c:v>
              </c:pt>
            </c:numLit>
          </c:bubbleSize>
        </c:ser>
        <c:ser>
          <c:idx val="3"/>
          <c:order val="3"/>
          <c:tx>
            <c:strRef>
              <c:f>'2022_Stats'!$E$5</c:f>
            </c:strRef>
          </c:tx>
          <c:dLbls>
            <c:dLblPos val="ctr"/>
            <c:showLegendKey val="0"/>
            <c:showVal val="0"/>
            <c:showCatName val="0"/>
            <c:showSerName val="1"/>
            <c:showPercent val="0"/>
            <c:showBubbleSize val="0"/>
          </c:dLbls>
          <c:xVal>
            <c:strRef>
              <c:f>'2022_Stats'!$F$5</c:f>
            </c:strRef>
          </c:xVal>
          <c:yVal>
            <c:numRef>
              <c:f>'2022_Stats'!$A$5</c:f>
              <c:numCache/>
            </c:numRef>
          </c:yVal>
          <c:bubbleSize>
            <c:numLit>
              <c:ptCount val="1"/>
              <c:pt idx="0">
                <c:v>1</c:v>
              </c:pt>
            </c:numLit>
          </c:bubbleSize>
        </c:ser>
        <c:ser>
          <c:idx val="4"/>
          <c:order val="4"/>
          <c:tx>
            <c:strRef>
              <c:f>'2022_Stats'!$E$6</c:f>
            </c:strRef>
          </c:tx>
          <c:dLbls>
            <c:dLblPos val="ctr"/>
            <c:showLegendKey val="0"/>
            <c:showVal val="0"/>
            <c:showCatName val="0"/>
            <c:showSerName val="1"/>
            <c:showPercent val="0"/>
            <c:showBubbleSize val="0"/>
          </c:dLbls>
          <c:xVal>
            <c:strRef>
              <c:f>'2022_Stats'!$F$6</c:f>
            </c:strRef>
          </c:xVal>
          <c:yVal>
            <c:numRef>
              <c:f>'2022_Stats'!$A$6</c:f>
              <c:numCache/>
            </c:numRef>
          </c:yVal>
          <c:bubbleSize>
            <c:numLit>
              <c:ptCount val="1"/>
              <c:pt idx="0">
                <c:v>1</c:v>
              </c:pt>
            </c:numLit>
          </c:bubbleSize>
        </c:ser>
        <c:ser>
          <c:idx val="5"/>
          <c:order val="5"/>
          <c:tx>
            <c:strRef>
              <c:f>'2022_Stats'!$E$7</c:f>
            </c:strRef>
          </c:tx>
          <c:dLbls>
            <c:dLblPos val="ctr"/>
            <c:showLegendKey val="0"/>
            <c:showVal val="0"/>
            <c:showCatName val="0"/>
            <c:showSerName val="1"/>
            <c:showPercent val="0"/>
            <c:showBubbleSize val="0"/>
          </c:dLbls>
          <c:xVal>
            <c:strRef>
              <c:f>'2022_Stats'!$F$7</c:f>
            </c:strRef>
          </c:xVal>
          <c:yVal>
            <c:numRef>
              <c:f>'2022_Stats'!$A$7</c:f>
              <c:numCache/>
            </c:numRef>
          </c:yVal>
          <c:bubbleSize>
            <c:numLit>
              <c:ptCount val="1"/>
              <c:pt idx="0">
                <c:v>1</c:v>
              </c:pt>
            </c:numLit>
          </c:bubbleSize>
        </c:ser>
        <c:ser>
          <c:idx val="6"/>
          <c:order val="6"/>
          <c:tx>
            <c:strRef>
              <c:f>'2022_Stats'!$E$8</c:f>
            </c:strRef>
          </c:tx>
          <c:dLbls>
            <c:dLblPos val="ctr"/>
            <c:showLegendKey val="0"/>
            <c:showVal val="0"/>
            <c:showCatName val="0"/>
            <c:showSerName val="1"/>
            <c:showPercent val="0"/>
            <c:showBubbleSize val="0"/>
          </c:dLbls>
          <c:xVal>
            <c:strRef>
              <c:f>'2022_Stats'!$F$8</c:f>
            </c:strRef>
          </c:xVal>
          <c:yVal>
            <c:numRef>
              <c:f>'2022_Stats'!$A$8</c:f>
              <c:numCache/>
            </c:numRef>
          </c:yVal>
          <c:bubbleSize>
            <c:numLit>
              <c:ptCount val="1"/>
              <c:pt idx="0">
                <c:v>1</c:v>
              </c:pt>
            </c:numLit>
          </c:bubbleSize>
        </c:ser>
        <c:ser>
          <c:idx val="7"/>
          <c:order val="7"/>
          <c:tx>
            <c:strRef>
              <c:f>'2022_Stats'!$E$9</c:f>
            </c:strRef>
          </c:tx>
          <c:dLbls>
            <c:dLblPos val="ctr"/>
            <c:showLegendKey val="0"/>
            <c:showVal val="0"/>
            <c:showCatName val="0"/>
            <c:showSerName val="1"/>
            <c:showPercent val="0"/>
            <c:showBubbleSize val="0"/>
          </c:dLbls>
          <c:xVal>
            <c:strRef>
              <c:f>'2022_Stats'!$F$9</c:f>
            </c:strRef>
          </c:xVal>
          <c:yVal>
            <c:numRef>
              <c:f>'2022_Stats'!$A$9</c:f>
              <c:numCache/>
            </c:numRef>
          </c:yVal>
          <c:bubbleSize>
            <c:numLit>
              <c:ptCount val="1"/>
              <c:pt idx="0">
                <c:v>1</c:v>
              </c:pt>
            </c:numLit>
          </c:bubbleSize>
        </c:ser>
        <c:ser>
          <c:idx val="8"/>
          <c:order val="8"/>
          <c:tx>
            <c:strRef>
              <c:f>'2022_Stats'!$E$10</c:f>
            </c:strRef>
          </c:tx>
          <c:dLbls>
            <c:dLblPos val="ctr"/>
            <c:showLegendKey val="0"/>
            <c:showVal val="0"/>
            <c:showCatName val="0"/>
            <c:showSerName val="1"/>
            <c:showPercent val="0"/>
            <c:showBubbleSize val="0"/>
          </c:dLbls>
          <c:xVal>
            <c:strRef>
              <c:f>'2022_Stats'!$F$10</c:f>
            </c:strRef>
          </c:xVal>
          <c:yVal>
            <c:numRef>
              <c:f>'2022_Stats'!$A$10</c:f>
              <c:numCache/>
            </c:numRef>
          </c:yVal>
          <c:bubbleSize>
            <c:numLit>
              <c:ptCount val="1"/>
              <c:pt idx="0">
                <c:v>1</c:v>
              </c:pt>
            </c:numLit>
          </c:bubbleSize>
        </c:ser>
        <c:ser>
          <c:idx val="9"/>
          <c:order val="9"/>
          <c:tx>
            <c:strRef>
              <c:f>'2022_Stats'!$E$11</c:f>
            </c:strRef>
          </c:tx>
          <c:dLbls>
            <c:dLblPos val="ctr"/>
            <c:showLegendKey val="0"/>
            <c:showVal val="0"/>
            <c:showCatName val="0"/>
            <c:showSerName val="1"/>
            <c:showPercent val="0"/>
            <c:showBubbleSize val="0"/>
          </c:dLbls>
          <c:xVal>
            <c:strRef>
              <c:f>'2022_Stats'!$F$11</c:f>
            </c:strRef>
          </c:xVal>
          <c:yVal>
            <c:numRef>
              <c:f>'2022_Stats'!$A$11</c:f>
              <c:numCache/>
            </c:numRef>
          </c:yVal>
          <c:bubbleSize>
            <c:numLit>
              <c:ptCount val="1"/>
              <c:pt idx="0">
                <c:v>1</c:v>
              </c:pt>
            </c:numLit>
          </c:bubbleSize>
        </c:ser>
        <c:ser>
          <c:idx val="10"/>
          <c:order val="10"/>
          <c:tx>
            <c:strRef>
              <c:f>'2022_Stats'!$E$12</c:f>
            </c:strRef>
          </c:tx>
          <c:dLbls>
            <c:dLblPos val="ctr"/>
            <c:showLegendKey val="0"/>
            <c:showVal val="0"/>
            <c:showCatName val="0"/>
            <c:showSerName val="1"/>
            <c:showPercent val="0"/>
            <c:showBubbleSize val="0"/>
          </c:dLbls>
          <c:xVal>
            <c:strRef>
              <c:f>'2022_Stats'!$F$12</c:f>
            </c:strRef>
          </c:xVal>
          <c:yVal>
            <c:numRef>
              <c:f>'2022_Stats'!$A$12</c:f>
              <c:numCache/>
            </c:numRef>
          </c:yVal>
          <c:bubbleSize>
            <c:numLit>
              <c:ptCount val="1"/>
              <c:pt idx="0">
                <c:v>1</c:v>
              </c:pt>
            </c:numLit>
          </c:bubbleSize>
        </c:ser>
        <c:ser>
          <c:idx val="11"/>
          <c:order val="11"/>
          <c:tx>
            <c:strRef>
              <c:f>'2022_Stats'!$E$13</c:f>
            </c:strRef>
          </c:tx>
          <c:dLbls>
            <c:dLblPos val="ctr"/>
            <c:showLegendKey val="0"/>
            <c:showVal val="0"/>
            <c:showCatName val="0"/>
            <c:showSerName val="1"/>
            <c:showPercent val="0"/>
            <c:showBubbleSize val="0"/>
          </c:dLbls>
          <c:xVal>
            <c:strRef>
              <c:f>'2022_Stats'!$F$13</c:f>
            </c:strRef>
          </c:xVal>
          <c:yVal>
            <c:numRef>
              <c:f>'2022_Stats'!$A$13</c:f>
              <c:numCache/>
            </c:numRef>
          </c:yVal>
          <c:bubbleSize>
            <c:numLit>
              <c:ptCount val="1"/>
              <c:pt idx="0">
                <c:v>1</c:v>
              </c:pt>
            </c:numLit>
          </c:bubbleSize>
        </c:ser>
        <c:ser>
          <c:idx val="12"/>
          <c:order val="12"/>
          <c:tx>
            <c:strRef>
              <c:f>'2022_Stats'!$E$14</c:f>
            </c:strRef>
          </c:tx>
          <c:dLbls>
            <c:dLblPos val="ctr"/>
            <c:showLegendKey val="0"/>
            <c:showVal val="0"/>
            <c:showCatName val="0"/>
            <c:showSerName val="1"/>
            <c:showPercent val="0"/>
            <c:showBubbleSize val="0"/>
          </c:dLbls>
          <c:xVal>
            <c:strRef>
              <c:f>'2022_Stats'!$F$14</c:f>
            </c:strRef>
          </c:xVal>
          <c:yVal>
            <c:numRef>
              <c:f>'2022_Stats'!$A$14</c:f>
              <c:numCache/>
            </c:numRef>
          </c:yVal>
          <c:bubbleSize>
            <c:numLit>
              <c:ptCount val="1"/>
              <c:pt idx="0">
                <c:v>1</c:v>
              </c:pt>
            </c:numLit>
          </c:bubbleSize>
        </c:ser>
        <c:ser>
          <c:idx val="13"/>
          <c:order val="13"/>
          <c:tx>
            <c:strRef>
              <c:f>'2022_Stats'!$E$15</c:f>
            </c:strRef>
          </c:tx>
          <c:dLbls>
            <c:dLblPos val="ctr"/>
            <c:showLegendKey val="0"/>
            <c:showVal val="0"/>
            <c:showCatName val="0"/>
            <c:showSerName val="1"/>
            <c:showPercent val="0"/>
            <c:showBubbleSize val="0"/>
          </c:dLbls>
          <c:xVal>
            <c:strRef>
              <c:f>'2022_Stats'!$F$15</c:f>
            </c:strRef>
          </c:xVal>
          <c:yVal>
            <c:numRef>
              <c:f>'2022_Stats'!$A$15</c:f>
              <c:numCache/>
            </c:numRef>
          </c:yVal>
          <c:bubbleSize>
            <c:numLit>
              <c:ptCount val="1"/>
              <c:pt idx="0">
                <c:v>1</c:v>
              </c:pt>
            </c:numLit>
          </c:bubbleSize>
        </c:ser>
        <c:ser>
          <c:idx val="14"/>
          <c:order val="14"/>
          <c:tx>
            <c:strRef>
              <c:f>'2022_Stats'!$E$16</c:f>
            </c:strRef>
          </c:tx>
          <c:dLbls>
            <c:dLblPos val="ctr"/>
            <c:showLegendKey val="0"/>
            <c:showVal val="0"/>
            <c:showCatName val="0"/>
            <c:showSerName val="1"/>
            <c:showPercent val="0"/>
            <c:showBubbleSize val="0"/>
          </c:dLbls>
          <c:xVal>
            <c:strRef>
              <c:f>'2022_Stats'!$F$16</c:f>
            </c:strRef>
          </c:xVal>
          <c:yVal>
            <c:numRef>
              <c:f>'2022_Stats'!$A$16</c:f>
              <c:numCache/>
            </c:numRef>
          </c:yVal>
          <c:bubbleSize>
            <c:numLit>
              <c:ptCount val="1"/>
              <c:pt idx="0">
                <c:v>1</c:v>
              </c:pt>
            </c:numLit>
          </c:bubbleSize>
        </c:ser>
        <c:ser>
          <c:idx val="15"/>
          <c:order val="15"/>
          <c:tx>
            <c:strRef>
              <c:f>'2022_Stats'!$E$17</c:f>
            </c:strRef>
          </c:tx>
          <c:dLbls>
            <c:dLblPos val="ctr"/>
            <c:showLegendKey val="0"/>
            <c:showVal val="0"/>
            <c:showCatName val="0"/>
            <c:showSerName val="1"/>
            <c:showPercent val="0"/>
            <c:showBubbleSize val="0"/>
          </c:dLbls>
          <c:xVal>
            <c:strRef>
              <c:f>'2022_Stats'!$F$17</c:f>
            </c:strRef>
          </c:xVal>
          <c:yVal>
            <c:numRef>
              <c:f>'2022_Stats'!$A$17</c:f>
              <c:numCache/>
            </c:numRef>
          </c:yVal>
          <c:bubbleSize>
            <c:numLit>
              <c:ptCount val="1"/>
              <c:pt idx="0">
                <c:v>1</c:v>
              </c:pt>
            </c:numLit>
          </c:bubbleSize>
        </c:ser>
        <c:ser>
          <c:idx val="16"/>
          <c:order val="16"/>
          <c:tx>
            <c:strRef>
              <c:f>'2022_Stats'!$E$18</c:f>
            </c:strRef>
          </c:tx>
          <c:dLbls>
            <c:dLblPos val="ctr"/>
            <c:showLegendKey val="0"/>
            <c:showVal val="0"/>
            <c:showCatName val="0"/>
            <c:showSerName val="1"/>
            <c:showPercent val="0"/>
            <c:showBubbleSize val="0"/>
          </c:dLbls>
          <c:xVal>
            <c:strRef>
              <c:f>'2022_Stats'!$F$18</c:f>
            </c:strRef>
          </c:xVal>
          <c:yVal>
            <c:numRef>
              <c:f>'2022_Stats'!$A$18</c:f>
              <c:numCache/>
            </c:numRef>
          </c:yVal>
          <c:bubbleSize>
            <c:numLit>
              <c:ptCount val="1"/>
              <c:pt idx="0">
                <c:v>1</c:v>
              </c:pt>
            </c:numLit>
          </c:bubbleSize>
        </c:ser>
        <c:ser>
          <c:idx val="17"/>
          <c:order val="17"/>
          <c:tx>
            <c:strRef>
              <c:f>'2022_Stats'!$E$19</c:f>
            </c:strRef>
          </c:tx>
          <c:dLbls>
            <c:dLblPos val="ctr"/>
            <c:showLegendKey val="0"/>
            <c:showVal val="0"/>
            <c:showCatName val="0"/>
            <c:showSerName val="1"/>
            <c:showPercent val="0"/>
            <c:showBubbleSize val="0"/>
          </c:dLbls>
          <c:xVal>
            <c:strRef>
              <c:f>'2022_Stats'!$F$19</c:f>
            </c:strRef>
          </c:xVal>
          <c:yVal>
            <c:numRef>
              <c:f>'2022_Stats'!$A$19</c:f>
              <c:numCache/>
            </c:numRef>
          </c:yVal>
          <c:bubbleSize>
            <c:numLit>
              <c:ptCount val="1"/>
              <c:pt idx="0">
                <c:v>1</c:v>
              </c:pt>
            </c:numLit>
          </c:bubbleSize>
        </c:ser>
        <c:ser>
          <c:idx val="18"/>
          <c:order val="18"/>
          <c:tx>
            <c:strRef>
              <c:f>'2022_Stats'!$E$20</c:f>
            </c:strRef>
          </c:tx>
          <c:dLbls>
            <c:dLblPos val="ctr"/>
            <c:showLegendKey val="0"/>
            <c:showVal val="0"/>
            <c:showCatName val="0"/>
            <c:showSerName val="1"/>
            <c:showPercent val="0"/>
            <c:showBubbleSize val="0"/>
          </c:dLbls>
          <c:xVal>
            <c:strRef>
              <c:f>'2022_Stats'!$F$20</c:f>
            </c:strRef>
          </c:xVal>
          <c:yVal>
            <c:numRef>
              <c:f>'2022_Stats'!$A$20</c:f>
              <c:numCache/>
            </c:numRef>
          </c:yVal>
          <c:bubbleSize>
            <c:numLit>
              <c:ptCount val="1"/>
              <c:pt idx="0">
                <c:v>1</c:v>
              </c:pt>
            </c:numLit>
          </c:bubbleSize>
        </c:ser>
        <c:ser>
          <c:idx val="19"/>
          <c:order val="19"/>
          <c:tx>
            <c:strRef>
              <c:f>'2022_Stats'!$E$21</c:f>
            </c:strRef>
          </c:tx>
          <c:dLbls>
            <c:dLblPos val="ctr"/>
            <c:showLegendKey val="0"/>
            <c:showVal val="0"/>
            <c:showCatName val="0"/>
            <c:showSerName val="1"/>
            <c:showPercent val="0"/>
            <c:showBubbleSize val="0"/>
          </c:dLbls>
          <c:xVal>
            <c:strRef>
              <c:f>'2022_Stats'!$F$21</c:f>
            </c:strRef>
          </c:xVal>
          <c:yVal>
            <c:numRef>
              <c:f>'2022_Stats'!$A$21</c:f>
              <c:numCache/>
            </c:numRef>
          </c:yVal>
          <c:bubbleSize>
            <c:numLit>
              <c:ptCount val="1"/>
              <c:pt idx="0">
                <c:v>1</c:v>
              </c:pt>
            </c:numLit>
          </c:bubbleSize>
        </c:ser>
        <c:axId val="2017480804"/>
        <c:axId val="315454031"/>
      </c:bubbleChart>
      <c:valAx>
        <c:axId val="20174808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15454031"/>
      </c:valAx>
      <c:valAx>
        <c:axId val="3154540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748080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IPL 2022 Player Value Ranking</a:t>
            </a:r>
          </a:p>
        </c:rich>
      </c:tx>
      <c:overlay val="0"/>
    </c:title>
    <c:plotArea>
      <c:layout/>
      <c:barChart>
        <c:barDir val="bar"/>
        <c:ser>
          <c:idx val="0"/>
          <c:order val="0"/>
          <c:tx>
            <c:strRef>
              <c:f>'2022_Stats'!$G$1</c:f>
            </c:strRef>
          </c:tx>
          <c:spPr>
            <a:solidFill>
              <a:schemeClr val="accent1"/>
            </a:solidFill>
            <a:ln cmpd="sng">
              <a:noFill/>
            </a:ln>
          </c:spPr>
          <c:cat>
            <c:strRef>
              <c:f>'2022_Stats'!$A$2:$A$21</c:f>
            </c:strRef>
          </c:cat>
          <c:val>
            <c:numRef>
              <c:f>'2022_Stats'!$G$2:$G$21</c:f>
              <c:numCache/>
            </c:numRef>
          </c:val>
        </c:ser>
        <c:axId val="42432963"/>
        <c:axId val="1070040358"/>
      </c:barChart>
      <c:catAx>
        <c:axId val="424329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0040358"/>
      </c:catAx>
      <c:valAx>
        <c:axId val="10700403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432963"/>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Paid vs Performance 2022</a:t>
            </a:r>
          </a:p>
        </c:rich>
      </c:tx>
      <c:overlay val="0"/>
    </c:title>
    <c:plotArea>
      <c:layout/>
      <c:bubbleChart>
        <c:ser>
          <c:idx val="0"/>
          <c:order val="0"/>
          <c:tx>
            <c:strRef>
              <c:f>'2022_Stats'!$E$2</c:f>
            </c:strRef>
          </c:tx>
          <c:dLbls>
            <c:dLblPos val="ctr"/>
            <c:showLegendKey val="0"/>
            <c:showVal val="0"/>
            <c:showCatName val="0"/>
            <c:showSerName val="1"/>
            <c:showPercent val="0"/>
            <c:showBubbleSize val="0"/>
          </c:dLbls>
          <c:xVal>
            <c:strRef>
              <c:f>'2022_Stats'!$F$2</c:f>
            </c:strRef>
          </c:xVal>
          <c:yVal>
            <c:numRef>
              <c:f>'2022_Stats'!$A$2</c:f>
              <c:numCache/>
            </c:numRef>
          </c:yVal>
          <c:bubbleSize>
            <c:numLit>
              <c:ptCount val="1"/>
              <c:pt idx="0">
                <c:v>1</c:v>
              </c:pt>
            </c:numLit>
          </c:bubbleSize>
        </c:ser>
        <c:ser>
          <c:idx val="1"/>
          <c:order val="1"/>
          <c:tx>
            <c:strRef>
              <c:f>'2022_Stats'!$E$3</c:f>
            </c:strRef>
          </c:tx>
          <c:dLbls>
            <c:dLblPos val="ctr"/>
            <c:showLegendKey val="0"/>
            <c:showVal val="0"/>
            <c:showCatName val="0"/>
            <c:showSerName val="1"/>
            <c:showPercent val="0"/>
            <c:showBubbleSize val="0"/>
          </c:dLbls>
          <c:xVal>
            <c:strRef>
              <c:f>'2022_Stats'!$F$3</c:f>
            </c:strRef>
          </c:xVal>
          <c:yVal>
            <c:numRef>
              <c:f>'2022_Stats'!$A$3</c:f>
              <c:numCache/>
            </c:numRef>
          </c:yVal>
          <c:bubbleSize>
            <c:numLit>
              <c:ptCount val="1"/>
              <c:pt idx="0">
                <c:v>1</c:v>
              </c:pt>
            </c:numLit>
          </c:bubbleSize>
        </c:ser>
        <c:ser>
          <c:idx val="2"/>
          <c:order val="2"/>
          <c:tx>
            <c:strRef>
              <c:f>'2022_Stats'!$E$4</c:f>
            </c:strRef>
          </c:tx>
          <c:dLbls>
            <c:dLblPos val="ctr"/>
            <c:showLegendKey val="0"/>
            <c:showVal val="0"/>
            <c:showCatName val="0"/>
            <c:showSerName val="1"/>
            <c:showPercent val="0"/>
            <c:showBubbleSize val="0"/>
          </c:dLbls>
          <c:xVal>
            <c:strRef>
              <c:f>'2022_Stats'!$F$4</c:f>
            </c:strRef>
          </c:xVal>
          <c:yVal>
            <c:numRef>
              <c:f>'2022_Stats'!$A$4</c:f>
              <c:numCache/>
            </c:numRef>
          </c:yVal>
          <c:bubbleSize>
            <c:numLit>
              <c:ptCount val="1"/>
              <c:pt idx="0">
                <c:v>1</c:v>
              </c:pt>
            </c:numLit>
          </c:bubbleSize>
        </c:ser>
        <c:ser>
          <c:idx val="3"/>
          <c:order val="3"/>
          <c:tx>
            <c:strRef>
              <c:f>'2022_Stats'!$E$5</c:f>
            </c:strRef>
          </c:tx>
          <c:dLbls>
            <c:dLblPos val="ctr"/>
            <c:showLegendKey val="0"/>
            <c:showVal val="0"/>
            <c:showCatName val="0"/>
            <c:showSerName val="1"/>
            <c:showPercent val="0"/>
            <c:showBubbleSize val="0"/>
          </c:dLbls>
          <c:xVal>
            <c:strRef>
              <c:f>'2022_Stats'!$F$5</c:f>
            </c:strRef>
          </c:xVal>
          <c:yVal>
            <c:numRef>
              <c:f>'2022_Stats'!$A$5</c:f>
              <c:numCache/>
            </c:numRef>
          </c:yVal>
          <c:bubbleSize>
            <c:numLit>
              <c:ptCount val="1"/>
              <c:pt idx="0">
                <c:v>1</c:v>
              </c:pt>
            </c:numLit>
          </c:bubbleSize>
        </c:ser>
        <c:ser>
          <c:idx val="4"/>
          <c:order val="4"/>
          <c:tx>
            <c:strRef>
              <c:f>'2022_Stats'!$E$6</c:f>
            </c:strRef>
          </c:tx>
          <c:dLbls>
            <c:dLblPos val="ctr"/>
            <c:showLegendKey val="0"/>
            <c:showVal val="0"/>
            <c:showCatName val="0"/>
            <c:showSerName val="1"/>
            <c:showPercent val="0"/>
            <c:showBubbleSize val="0"/>
          </c:dLbls>
          <c:xVal>
            <c:strRef>
              <c:f>'2022_Stats'!$F$6</c:f>
            </c:strRef>
          </c:xVal>
          <c:yVal>
            <c:numRef>
              <c:f>'2022_Stats'!$A$6</c:f>
              <c:numCache/>
            </c:numRef>
          </c:yVal>
          <c:bubbleSize>
            <c:numLit>
              <c:ptCount val="1"/>
              <c:pt idx="0">
                <c:v>1</c:v>
              </c:pt>
            </c:numLit>
          </c:bubbleSize>
        </c:ser>
        <c:ser>
          <c:idx val="5"/>
          <c:order val="5"/>
          <c:tx>
            <c:strRef>
              <c:f>'2022_Stats'!$E$7</c:f>
            </c:strRef>
          </c:tx>
          <c:dLbls>
            <c:dLblPos val="ctr"/>
            <c:showLegendKey val="0"/>
            <c:showVal val="0"/>
            <c:showCatName val="0"/>
            <c:showSerName val="1"/>
            <c:showPercent val="0"/>
            <c:showBubbleSize val="0"/>
          </c:dLbls>
          <c:xVal>
            <c:strRef>
              <c:f>'2022_Stats'!$F$7</c:f>
            </c:strRef>
          </c:xVal>
          <c:yVal>
            <c:numRef>
              <c:f>'2022_Stats'!$A$7</c:f>
              <c:numCache/>
            </c:numRef>
          </c:yVal>
          <c:bubbleSize>
            <c:numLit>
              <c:ptCount val="1"/>
              <c:pt idx="0">
                <c:v>1</c:v>
              </c:pt>
            </c:numLit>
          </c:bubbleSize>
        </c:ser>
        <c:ser>
          <c:idx val="6"/>
          <c:order val="6"/>
          <c:tx>
            <c:strRef>
              <c:f>'2022_Stats'!$E$8</c:f>
            </c:strRef>
          </c:tx>
          <c:dLbls>
            <c:dLblPos val="ctr"/>
            <c:showLegendKey val="0"/>
            <c:showVal val="0"/>
            <c:showCatName val="0"/>
            <c:showSerName val="1"/>
            <c:showPercent val="0"/>
            <c:showBubbleSize val="0"/>
          </c:dLbls>
          <c:xVal>
            <c:strRef>
              <c:f>'2022_Stats'!$F$8</c:f>
            </c:strRef>
          </c:xVal>
          <c:yVal>
            <c:numRef>
              <c:f>'2022_Stats'!$A$8</c:f>
              <c:numCache/>
            </c:numRef>
          </c:yVal>
          <c:bubbleSize>
            <c:numLit>
              <c:ptCount val="1"/>
              <c:pt idx="0">
                <c:v>1</c:v>
              </c:pt>
            </c:numLit>
          </c:bubbleSize>
        </c:ser>
        <c:ser>
          <c:idx val="7"/>
          <c:order val="7"/>
          <c:tx>
            <c:strRef>
              <c:f>'2022_Stats'!$E$9</c:f>
            </c:strRef>
          </c:tx>
          <c:dLbls>
            <c:dLblPos val="ctr"/>
            <c:showLegendKey val="0"/>
            <c:showVal val="0"/>
            <c:showCatName val="0"/>
            <c:showSerName val="1"/>
            <c:showPercent val="0"/>
            <c:showBubbleSize val="0"/>
          </c:dLbls>
          <c:xVal>
            <c:strRef>
              <c:f>'2022_Stats'!$F$9</c:f>
            </c:strRef>
          </c:xVal>
          <c:yVal>
            <c:numRef>
              <c:f>'2022_Stats'!$A$9</c:f>
              <c:numCache/>
            </c:numRef>
          </c:yVal>
          <c:bubbleSize>
            <c:numLit>
              <c:ptCount val="1"/>
              <c:pt idx="0">
                <c:v>1</c:v>
              </c:pt>
            </c:numLit>
          </c:bubbleSize>
        </c:ser>
        <c:ser>
          <c:idx val="8"/>
          <c:order val="8"/>
          <c:tx>
            <c:strRef>
              <c:f>'2022_Stats'!$E$10</c:f>
            </c:strRef>
          </c:tx>
          <c:dLbls>
            <c:dLblPos val="ctr"/>
            <c:showLegendKey val="0"/>
            <c:showVal val="0"/>
            <c:showCatName val="0"/>
            <c:showSerName val="1"/>
            <c:showPercent val="0"/>
            <c:showBubbleSize val="0"/>
          </c:dLbls>
          <c:xVal>
            <c:strRef>
              <c:f>'2022_Stats'!$F$10</c:f>
            </c:strRef>
          </c:xVal>
          <c:yVal>
            <c:numRef>
              <c:f>'2022_Stats'!$A$10</c:f>
              <c:numCache/>
            </c:numRef>
          </c:yVal>
          <c:bubbleSize>
            <c:numLit>
              <c:ptCount val="1"/>
              <c:pt idx="0">
                <c:v>1</c:v>
              </c:pt>
            </c:numLit>
          </c:bubbleSize>
        </c:ser>
        <c:ser>
          <c:idx val="9"/>
          <c:order val="9"/>
          <c:tx>
            <c:strRef>
              <c:f>'2022_Stats'!$E$11</c:f>
            </c:strRef>
          </c:tx>
          <c:dLbls>
            <c:dLblPos val="ctr"/>
            <c:showLegendKey val="0"/>
            <c:showVal val="0"/>
            <c:showCatName val="0"/>
            <c:showSerName val="1"/>
            <c:showPercent val="0"/>
            <c:showBubbleSize val="0"/>
          </c:dLbls>
          <c:xVal>
            <c:strRef>
              <c:f>'2022_Stats'!$F$11</c:f>
            </c:strRef>
          </c:xVal>
          <c:yVal>
            <c:numRef>
              <c:f>'2022_Stats'!$A$11</c:f>
              <c:numCache/>
            </c:numRef>
          </c:yVal>
          <c:bubbleSize>
            <c:numLit>
              <c:ptCount val="1"/>
              <c:pt idx="0">
                <c:v>1</c:v>
              </c:pt>
            </c:numLit>
          </c:bubbleSize>
        </c:ser>
        <c:ser>
          <c:idx val="10"/>
          <c:order val="10"/>
          <c:tx>
            <c:strRef>
              <c:f>'2022_Stats'!$E$12</c:f>
            </c:strRef>
          </c:tx>
          <c:dLbls>
            <c:dLblPos val="ctr"/>
            <c:showLegendKey val="0"/>
            <c:showVal val="0"/>
            <c:showCatName val="0"/>
            <c:showSerName val="1"/>
            <c:showPercent val="0"/>
            <c:showBubbleSize val="0"/>
          </c:dLbls>
          <c:xVal>
            <c:strRef>
              <c:f>'2022_Stats'!$F$12</c:f>
            </c:strRef>
          </c:xVal>
          <c:yVal>
            <c:numRef>
              <c:f>'2022_Stats'!$A$12</c:f>
              <c:numCache/>
            </c:numRef>
          </c:yVal>
          <c:bubbleSize>
            <c:numLit>
              <c:ptCount val="1"/>
              <c:pt idx="0">
                <c:v>1</c:v>
              </c:pt>
            </c:numLit>
          </c:bubbleSize>
        </c:ser>
        <c:ser>
          <c:idx val="11"/>
          <c:order val="11"/>
          <c:tx>
            <c:strRef>
              <c:f>'2022_Stats'!$E$13</c:f>
            </c:strRef>
          </c:tx>
          <c:dLbls>
            <c:dLblPos val="ctr"/>
            <c:showLegendKey val="0"/>
            <c:showVal val="0"/>
            <c:showCatName val="0"/>
            <c:showSerName val="1"/>
            <c:showPercent val="0"/>
            <c:showBubbleSize val="0"/>
          </c:dLbls>
          <c:xVal>
            <c:strRef>
              <c:f>'2022_Stats'!$F$13</c:f>
            </c:strRef>
          </c:xVal>
          <c:yVal>
            <c:numRef>
              <c:f>'2022_Stats'!$A$13</c:f>
              <c:numCache/>
            </c:numRef>
          </c:yVal>
          <c:bubbleSize>
            <c:numLit>
              <c:ptCount val="1"/>
              <c:pt idx="0">
                <c:v>1</c:v>
              </c:pt>
            </c:numLit>
          </c:bubbleSize>
        </c:ser>
        <c:ser>
          <c:idx val="12"/>
          <c:order val="12"/>
          <c:tx>
            <c:strRef>
              <c:f>'2022_Stats'!$E$14</c:f>
            </c:strRef>
          </c:tx>
          <c:dLbls>
            <c:dLblPos val="ctr"/>
            <c:showLegendKey val="0"/>
            <c:showVal val="0"/>
            <c:showCatName val="0"/>
            <c:showSerName val="1"/>
            <c:showPercent val="0"/>
            <c:showBubbleSize val="0"/>
          </c:dLbls>
          <c:xVal>
            <c:strRef>
              <c:f>'2022_Stats'!$F$14</c:f>
            </c:strRef>
          </c:xVal>
          <c:yVal>
            <c:numRef>
              <c:f>'2022_Stats'!$A$14</c:f>
              <c:numCache/>
            </c:numRef>
          </c:yVal>
          <c:bubbleSize>
            <c:numLit>
              <c:ptCount val="1"/>
              <c:pt idx="0">
                <c:v>1</c:v>
              </c:pt>
            </c:numLit>
          </c:bubbleSize>
        </c:ser>
        <c:ser>
          <c:idx val="13"/>
          <c:order val="13"/>
          <c:tx>
            <c:strRef>
              <c:f>'2022_Stats'!$E$15</c:f>
            </c:strRef>
          </c:tx>
          <c:dLbls>
            <c:dLblPos val="ctr"/>
            <c:showLegendKey val="0"/>
            <c:showVal val="0"/>
            <c:showCatName val="0"/>
            <c:showSerName val="1"/>
            <c:showPercent val="0"/>
            <c:showBubbleSize val="0"/>
          </c:dLbls>
          <c:xVal>
            <c:strRef>
              <c:f>'2022_Stats'!$F$15</c:f>
            </c:strRef>
          </c:xVal>
          <c:yVal>
            <c:numRef>
              <c:f>'2022_Stats'!$A$15</c:f>
              <c:numCache/>
            </c:numRef>
          </c:yVal>
          <c:bubbleSize>
            <c:numLit>
              <c:ptCount val="1"/>
              <c:pt idx="0">
                <c:v>1</c:v>
              </c:pt>
            </c:numLit>
          </c:bubbleSize>
        </c:ser>
        <c:ser>
          <c:idx val="14"/>
          <c:order val="14"/>
          <c:tx>
            <c:strRef>
              <c:f>'2022_Stats'!$E$16</c:f>
            </c:strRef>
          </c:tx>
          <c:dLbls>
            <c:dLblPos val="ctr"/>
            <c:showLegendKey val="0"/>
            <c:showVal val="0"/>
            <c:showCatName val="0"/>
            <c:showSerName val="1"/>
            <c:showPercent val="0"/>
            <c:showBubbleSize val="0"/>
          </c:dLbls>
          <c:xVal>
            <c:strRef>
              <c:f>'2022_Stats'!$F$16</c:f>
            </c:strRef>
          </c:xVal>
          <c:yVal>
            <c:numRef>
              <c:f>'2022_Stats'!$A$16</c:f>
              <c:numCache/>
            </c:numRef>
          </c:yVal>
          <c:bubbleSize>
            <c:numLit>
              <c:ptCount val="1"/>
              <c:pt idx="0">
                <c:v>1</c:v>
              </c:pt>
            </c:numLit>
          </c:bubbleSize>
        </c:ser>
        <c:ser>
          <c:idx val="15"/>
          <c:order val="15"/>
          <c:tx>
            <c:strRef>
              <c:f>'2022_Stats'!$E$17</c:f>
            </c:strRef>
          </c:tx>
          <c:dLbls>
            <c:dLblPos val="ctr"/>
            <c:showLegendKey val="0"/>
            <c:showVal val="0"/>
            <c:showCatName val="0"/>
            <c:showSerName val="1"/>
            <c:showPercent val="0"/>
            <c:showBubbleSize val="0"/>
          </c:dLbls>
          <c:xVal>
            <c:strRef>
              <c:f>'2022_Stats'!$F$17</c:f>
            </c:strRef>
          </c:xVal>
          <c:yVal>
            <c:numRef>
              <c:f>'2022_Stats'!$A$17</c:f>
              <c:numCache/>
            </c:numRef>
          </c:yVal>
          <c:bubbleSize>
            <c:numLit>
              <c:ptCount val="1"/>
              <c:pt idx="0">
                <c:v>1</c:v>
              </c:pt>
            </c:numLit>
          </c:bubbleSize>
        </c:ser>
        <c:ser>
          <c:idx val="16"/>
          <c:order val="16"/>
          <c:tx>
            <c:strRef>
              <c:f>'2022_Stats'!$E$18</c:f>
            </c:strRef>
          </c:tx>
          <c:dLbls>
            <c:dLblPos val="ctr"/>
            <c:showLegendKey val="0"/>
            <c:showVal val="0"/>
            <c:showCatName val="0"/>
            <c:showSerName val="1"/>
            <c:showPercent val="0"/>
            <c:showBubbleSize val="0"/>
          </c:dLbls>
          <c:xVal>
            <c:strRef>
              <c:f>'2022_Stats'!$F$18</c:f>
            </c:strRef>
          </c:xVal>
          <c:yVal>
            <c:numRef>
              <c:f>'2022_Stats'!$A$18</c:f>
              <c:numCache/>
            </c:numRef>
          </c:yVal>
          <c:bubbleSize>
            <c:numLit>
              <c:ptCount val="1"/>
              <c:pt idx="0">
                <c:v>1</c:v>
              </c:pt>
            </c:numLit>
          </c:bubbleSize>
        </c:ser>
        <c:ser>
          <c:idx val="17"/>
          <c:order val="17"/>
          <c:tx>
            <c:strRef>
              <c:f>'2022_Stats'!$E$19</c:f>
            </c:strRef>
          </c:tx>
          <c:dLbls>
            <c:dLblPos val="ctr"/>
            <c:showLegendKey val="0"/>
            <c:showVal val="0"/>
            <c:showCatName val="0"/>
            <c:showSerName val="1"/>
            <c:showPercent val="0"/>
            <c:showBubbleSize val="0"/>
          </c:dLbls>
          <c:xVal>
            <c:strRef>
              <c:f>'2022_Stats'!$F$19</c:f>
            </c:strRef>
          </c:xVal>
          <c:yVal>
            <c:numRef>
              <c:f>'2022_Stats'!$A$19</c:f>
              <c:numCache/>
            </c:numRef>
          </c:yVal>
          <c:bubbleSize>
            <c:numLit>
              <c:ptCount val="1"/>
              <c:pt idx="0">
                <c:v>1</c:v>
              </c:pt>
            </c:numLit>
          </c:bubbleSize>
        </c:ser>
        <c:ser>
          <c:idx val="18"/>
          <c:order val="18"/>
          <c:tx>
            <c:strRef>
              <c:f>'2022_Stats'!$E$20</c:f>
            </c:strRef>
          </c:tx>
          <c:dLbls>
            <c:dLblPos val="ctr"/>
            <c:showLegendKey val="0"/>
            <c:showVal val="0"/>
            <c:showCatName val="0"/>
            <c:showSerName val="1"/>
            <c:showPercent val="0"/>
            <c:showBubbleSize val="0"/>
          </c:dLbls>
          <c:xVal>
            <c:strRef>
              <c:f>'2022_Stats'!$F$20</c:f>
            </c:strRef>
          </c:xVal>
          <c:yVal>
            <c:numRef>
              <c:f>'2022_Stats'!$A$20</c:f>
              <c:numCache/>
            </c:numRef>
          </c:yVal>
          <c:bubbleSize>
            <c:numLit>
              <c:ptCount val="1"/>
              <c:pt idx="0">
                <c:v>1</c:v>
              </c:pt>
            </c:numLit>
          </c:bubbleSize>
        </c:ser>
        <c:ser>
          <c:idx val="19"/>
          <c:order val="19"/>
          <c:tx>
            <c:strRef>
              <c:f>'2022_Stats'!$E$21</c:f>
            </c:strRef>
          </c:tx>
          <c:dLbls>
            <c:dLblPos val="ctr"/>
            <c:showLegendKey val="0"/>
            <c:showVal val="0"/>
            <c:showCatName val="0"/>
            <c:showSerName val="1"/>
            <c:showPercent val="0"/>
            <c:showBubbleSize val="0"/>
          </c:dLbls>
          <c:xVal>
            <c:strRef>
              <c:f>'2022_Stats'!$F$21</c:f>
            </c:strRef>
          </c:xVal>
          <c:yVal>
            <c:numRef>
              <c:f>'2022_Stats'!$A$21</c:f>
              <c:numCache/>
            </c:numRef>
          </c:yVal>
          <c:bubbleSize>
            <c:numLit>
              <c:ptCount val="1"/>
              <c:pt idx="0">
                <c:v>1</c:v>
              </c:pt>
            </c:numLit>
          </c:bubbleSize>
        </c:ser>
        <c:axId val="1209994622"/>
        <c:axId val="759872060"/>
      </c:bubbleChart>
      <c:valAx>
        <c:axId val="12099946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9872060"/>
      </c:valAx>
      <c:valAx>
        <c:axId val="759872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999462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Paid vs Performance 2023</a:t>
            </a:r>
          </a:p>
        </c:rich>
      </c:tx>
      <c:overlay val="0"/>
    </c:title>
    <c:plotArea>
      <c:layout/>
      <c:bubbleChart>
        <c:ser>
          <c:idx val="0"/>
          <c:order val="0"/>
          <c:tx>
            <c:strRef>
              <c:f>'2023_Stats'!$E$2</c:f>
            </c:strRef>
          </c:tx>
          <c:dLbls>
            <c:dLblPos val="ctr"/>
            <c:showLegendKey val="0"/>
            <c:showVal val="0"/>
            <c:showCatName val="0"/>
            <c:showSerName val="1"/>
            <c:showPercent val="0"/>
            <c:showBubbleSize val="0"/>
          </c:dLbls>
          <c:xVal>
            <c:strRef>
              <c:f>'2023_Stats'!$F$2</c:f>
            </c:strRef>
          </c:xVal>
          <c:yVal>
            <c:numRef>
              <c:f>'2023_Stats'!$A$2</c:f>
              <c:numCache/>
            </c:numRef>
          </c:yVal>
          <c:bubbleSize>
            <c:numLit>
              <c:ptCount val="1"/>
              <c:pt idx="0">
                <c:v>1</c:v>
              </c:pt>
            </c:numLit>
          </c:bubbleSize>
        </c:ser>
        <c:ser>
          <c:idx val="1"/>
          <c:order val="1"/>
          <c:tx>
            <c:strRef>
              <c:f>'2023_Stats'!$E$3</c:f>
            </c:strRef>
          </c:tx>
          <c:dLbls>
            <c:dLblPos val="ctr"/>
            <c:showLegendKey val="0"/>
            <c:showVal val="0"/>
            <c:showCatName val="0"/>
            <c:showSerName val="1"/>
            <c:showPercent val="0"/>
            <c:showBubbleSize val="0"/>
          </c:dLbls>
          <c:xVal>
            <c:strRef>
              <c:f>'2023_Stats'!$F$3</c:f>
            </c:strRef>
          </c:xVal>
          <c:yVal>
            <c:numRef>
              <c:f>'2023_Stats'!$A$3</c:f>
              <c:numCache/>
            </c:numRef>
          </c:yVal>
          <c:bubbleSize>
            <c:numLit>
              <c:ptCount val="1"/>
              <c:pt idx="0">
                <c:v>1</c:v>
              </c:pt>
            </c:numLit>
          </c:bubbleSize>
        </c:ser>
        <c:ser>
          <c:idx val="2"/>
          <c:order val="2"/>
          <c:tx>
            <c:strRef>
              <c:f>'2023_Stats'!$E$4</c:f>
            </c:strRef>
          </c:tx>
          <c:dLbls>
            <c:dLblPos val="ctr"/>
            <c:showLegendKey val="0"/>
            <c:showVal val="0"/>
            <c:showCatName val="0"/>
            <c:showSerName val="1"/>
            <c:showPercent val="0"/>
            <c:showBubbleSize val="0"/>
          </c:dLbls>
          <c:xVal>
            <c:strRef>
              <c:f>'2023_Stats'!$F$4</c:f>
            </c:strRef>
          </c:xVal>
          <c:yVal>
            <c:numRef>
              <c:f>'2023_Stats'!$A$4</c:f>
              <c:numCache/>
            </c:numRef>
          </c:yVal>
          <c:bubbleSize>
            <c:numLit>
              <c:ptCount val="1"/>
              <c:pt idx="0">
                <c:v>1</c:v>
              </c:pt>
            </c:numLit>
          </c:bubbleSize>
        </c:ser>
        <c:ser>
          <c:idx val="3"/>
          <c:order val="3"/>
          <c:tx>
            <c:strRef>
              <c:f>'2023_Stats'!$E$5</c:f>
            </c:strRef>
          </c:tx>
          <c:dLbls>
            <c:dLblPos val="ctr"/>
            <c:showLegendKey val="0"/>
            <c:showVal val="0"/>
            <c:showCatName val="0"/>
            <c:showSerName val="1"/>
            <c:showPercent val="0"/>
            <c:showBubbleSize val="0"/>
          </c:dLbls>
          <c:xVal>
            <c:strRef>
              <c:f>'2023_Stats'!$F$5</c:f>
            </c:strRef>
          </c:xVal>
          <c:yVal>
            <c:numRef>
              <c:f>'2023_Stats'!$A$5</c:f>
              <c:numCache/>
            </c:numRef>
          </c:yVal>
          <c:bubbleSize>
            <c:numLit>
              <c:ptCount val="1"/>
              <c:pt idx="0">
                <c:v>1</c:v>
              </c:pt>
            </c:numLit>
          </c:bubbleSize>
        </c:ser>
        <c:ser>
          <c:idx val="4"/>
          <c:order val="4"/>
          <c:tx>
            <c:strRef>
              <c:f>'2023_Stats'!$E$6</c:f>
            </c:strRef>
          </c:tx>
          <c:dLbls>
            <c:dLblPos val="ctr"/>
            <c:showLegendKey val="0"/>
            <c:showVal val="0"/>
            <c:showCatName val="0"/>
            <c:showSerName val="1"/>
            <c:showPercent val="0"/>
            <c:showBubbleSize val="0"/>
          </c:dLbls>
          <c:xVal>
            <c:strRef>
              <c:f>'2023_Stats'!$F$6</c:f>
            </c:strRef>
          </c:xVal>
          <c:yVal>
            <c:numRef>
              <c:f>'2023_Stats'!$A$6</c:f>
              <c:numCache/>
            </c:numRef>
          </c:yVal>
          <c:bubbleSize>
            <c:numLit>
              <c:ptCount val="1"/>
              <c:pt idx="0">
                <c:v>1</c:v>
              </c:pt>
            </c:numLit>
          </c:bubbleSize>
        </c:ser>
        <c:ser>
          <c:idx val="5"/>
          <c:order val="5"/>
          <c:tx>
            <c:strRef>
              <c:f>'2023_Stats'!$E$7</c:f>
            </c:strRef>
          </c:tx>
          <c:dLbls>
            <c:dLblPos val="ctr"/>
            <c:showLegendKey val="0"/>
            <c:showVal val="0"/>
            <c:showCatName val="0"/>
            <c:showSerName val="1"/>
            <c:showPercent val="0"/>
            <c:showBubbleSize val="0"/>
          </c:dLbls>
          <c:xVal>
            <c:strRef>
              <c:f>'2023_Stats'!$F$7</c:f>
            </c:strRef>
          </c:xVal>
          <c:yVal>
            <c:numRef>
              <c:f>'2023_Stats'!$A$7</c:f>
              <c:numCache/>
            </c:numRef>
          </c:yVal>
          <c:bubbleSize>
            <c:numLit>
              <c:ptCount val="1"/>
              <c:pt idx="0">
                <c:v>1</c:v>
              </c:pt>
            </c:numLit>
          </c:bubbleSize>
        </c:ser>
        <c:ser>
          <c:idx val="6"/>
          <c:order val="6"/>
          <c:tx>
            <c:strRef>
              <c:f>'2023_Stats'!$E$8</c:f>
            </c:strRef>
          </c:tx>
          <c:dLbls>
            <c:dLblPos val="ctr"/>
            <c:showLegendKey val="0"/>
            <c:showVal val="0"/>
            <c:showCatName val="0"/>
            <c:showSerName val="1"/>
            <c:showPercent val="0"/>
            <c:showBubbleSize val="0"/>
          </c:dLbls>
          <c:xVal>
            <c:strRef>
              <c:f>'2023_Stats'!$F$8</c:f>
            </c:strRef>
          </c:xVal>
          <c:yVal>
            <c:numRef>
              <c:f>'2023_Stats'!$A$8</c:f>
              <c:numCache/>
            </c:numRef>
          </c:yVal>
          <c:bubbleSize>
            <c:numLit>
              <c:ptCount val="1"/>
              <c:pt idx="0">
                <c:v>1</c:v>
              </c:pt>
            </c:numLit>
          </c:bubbleSize>
        </c:ser>
        <c:ser>
          <c:idx val="7"/>
          <c:order val="7"/>
          <c:tx>
            <c:strRef>
              <c:f>'2023_Stats'!$E$9</c:f>
            </c:strRef>
          </c:tx>
          <c:dLbls>
            <c:dLblPos val="ctr"/>
            <c:showLegendKey val="0"/>
            <c:showVal val="0"/>
            <c:showCatName val="0"/>
            <c:showSerName val="1"/>
            <c:showPercent val="0"/>
            <c:showBubbleSize val="0"/>
          </c:dLbls>
          <c:xVal>
            <c:strRef>
              <c:f>'2023_Stats'!$F$9</c:f>
            </c:strRef>
          </c:xVal>
          <c:yVal>
            <c:numRef>
              <c:f>'2023_Stats'!$A$9</c:f>
              <c:numCache/>
            </c:numRef>
          </c:yVal>
          <c:bubbleSize>
            <c:numLit>
              <c:ptCount val="1"/>
              <c:pt idx="0">
                <c:v>1</c:v>
              </c:pt>
            </c:numLit>
          </c:bubbleSize>
        </c:ser>
        <c:ser>
          <c:idx val="8"/>
          <c:order val="8"/>
          <c:tx>
            <c:strRef>
              <c:f>'2023_Stats'!$E$10</c:f>
            </c:strRef>
          </c:tx>
          <c:dLbls>
            <c:dLblPos val="ctr"/>
            <c:showLegendKey val="0"/>
            <c:showVal val="0"/>
            <c:showCatName val="0"/>
            <c:showSerName val="1"/>
            <c:showPercent val="0"/>
            <c:showBubbleSize val="0"/>
          </c:dLbls>
          <c:xVal>
            <c:strRef>
              <c:f>'2023_Stats'!$F$10</c:f>
            </c:strRef>
          </c:xVal>
          <c:yVal>
            <c:numRef>
              <c:f>'2023_Stats'!$A$10</c:f>
              <c:numCache/>
            </c:numRef>
          </c:yVal>
          <c:bubbleSize>
            <c:numLit>
              <c:ptCount val="1"/>
              <c:pt idx="0">
                <c:v>1</c:v>
              </c:pt>
            </c:numLit>
          </c:bubbleSize>
        </c:ser>
        <c:ser>
          <c:idx val="9"/>
          <c:order val="9"/>
          <c:tx>
            <c:strRef>
              <c:f>'2023_Stats'!$E$11</c:f>
            </c:strRef>
          </c:tx>
          <c:dLbls>
            <c:dLblPos val="ctr"/>
            <c:showLegendKey val="0"/>
            <c:showVal val="0"/>
            <c:showCatName val="0"/>
            <c:showSerName val="1"/>
            <c:showPercent val="0"/>
            <c:showBubbleSize val="0"/>
          </c:dLbls>
          <c:xVal>
            <c:strRef>
              <c:f>'2023_Stats'!$F$11</c:f>
            </c:strRef>
          </c:xVal>
          <c:yVal>
            <c:numRef>
              <c:f>'2023_Stats'!$A$11</c:f>
              <c:numCache/>
            </c:numRef>
          </c:yVal>
          <c:bubbleSize>
            <c:numLit>
              <c:ptCount val="1"/>
              <c:pt idx="0">
                <c:v>1</c:v>
              </c:pt>
            </c:numLit>
          </c:bubbleSize>
        </c:ser>
        <c:ser>
          <c:idx val="10"/>
          <c:order val="10"/>
          <c:tx>
            <c:strRef>
              <c:f>'2023_Stats'!$E$12</c:f>
            </c:strRef>
          </c:tx>
          <c:dLbls>
            <c:dLblPos val="ctr"/>
            <c:showLegendKey val="0"/>
            <c:showVal val="0"/>
            <c:showCatName val="0"/>
            <c:showSerName val="1"/>
            <c:showPercent val="0"/>
            <c:showBubbleSize val="0"/>
          </c:dLbls>
          <c:xVal>
            <c:strRef>
              <c:f>'2023_Stats'!$F$12</c:f>
            </c:strRef>
          </c:xVal>
          <c:yVal>
            <c:numRef>
              <c:f>'2023_Stats'!$A$12</c:f>
              <c:numCache/>
            </c:numRef>
          </c:yVal>
          <c:bubbleSize>
            <c:numLit>
              <c:ptCount val="1"/>
              <c:pt idx="0">
                <c:v>1</c:v>
              </c:pt>
            </c:numLit>
          </c:bubbleSize>
        </c:ser>
        <c:ser>
          <c:idx val="11"/>
          <c:order val="11"/>
          <c:tx>
            <c:strRef>
              <c:f>'2023_Stats'!$E$13</c:f>
            </c:strRef>
          </c:tx>
          <c:dLbls>
            <c:dLblPos val="ctr"/>
            <c:showLegendKey val="0"/>
            <c:showVal val="0"/>
            <c:showCatName val="0"/>
            <c:showSerName val="1"/>
            <c:showPercent val="0"/>
            <c:showBubbleSize val="0"/>
          </c:dLbls>
          <c:xVal>
            <c:strRef>
              <c:f>'2023_Stats'!$F$13</c:f>
            </c:strRef>
          </c:xVal>
          <c:yVal>
            <c:numRef>
              <c:f>'2023_Stats'!$A$13</c:f>
              <c:numCache/>
            </c:numRef>
          </c:yVal>
          <c:bubbleSize>
            <c:numLit>
              <c:ptCount val="1"/>
              <c:pt idx="0">
                <c:v>1</c:v>
              </c:pt>
            </c:numLit>
          </c:bubbleSize>
        </c:ser>
        <c:ser>
          <c:idx val="12"/>
          <c:order val="12"/>
          <c:tx>
            <c:strRef>
              <c:f>'2023_Stats'!$E$14</c:f>
            </c:strRef>
          </c:tx>
          <c:dLbls>
            <c:dLblPos val="ctr"/>
            <c:showLegendKey val="0"/>
            <c:showVal val="0"/>
            <c:showCatName val="0"/>
            <c:showSerName val="1"/>
            <c:showPercent val="0"/>
            <c:showBubbleSize val="0"/>
          </c:dLbls>
          <c:xVal>
            <c:strRef>
              <c:f>'2023_Stats'!$F$14</c:f>
            </c:strRef>
          </c:xVal>
          <c:yVal>
            <c:numRef>
              <c:f>'2023_Stats'!$A$14</c:f>
              <c:numCache/>
            </c:numRef>
          </c:yVal>
          <c:bubbleSize>
            <c:numLit>
              <c:ptCount val="1"/>
              <c:pt idx="0">
                <c:v>1</c:v>
              </c:pt>
            </c:numLit>
          </c:bubbleSize>
        </c:ser>
        <c:ser>
          <c:idx val="13"/>
          <c:order val="13"/>
          <c:tx>
            <c:strRef>
              <c:f>'2023_Stats'!$E$15</c:f>
            </c:strRef>
          </c:tx>
          <c:dLbls>
            <c:dLblPos val="ctr"/>
            <c:showLegendKey val="0"/>
            <c:showVal val="0"/>
            <c:showCatName val="0"/>
            <c:showSerName val="1"/>
            <c:showPercent val="0"/>
            <c:showBubbleSize val="0"/>
          </c:dLbls>
          <c:xVal>
            <c:strRef>
              <c:f>'2023_Stats'!$F$15</c:f>
            </c:strRef>
          </c:xVal>
          <c:yVal>
            <c:numRef>
              <c:f>'2023_Stats'!$A$15</c:f>
              <c:numCache/>
            </c:numRef>
          </c:yVal>
          <c:bubbleSize>
            <c:numLit>
              <c:ptCount val="1"/>
              <c:pt idx="0">
                <c:v>1</c:v>
              </c:pt>
            </c:numLit>
          </c:bubbleSize>
        </c:ser>
        <c:ser>
          <c:idx val="14"/>
          <c:order val="14"/>
          <c:tx>
            <c:strRef>
              <c:f>'2023_Stats'!$E$16</c:f>
            </c:strRef>
          </c:tx>
          <c:dLbls>
            <c:dLblPos val="ctr"/>
            <c:showLegendKey val="0"/>
            <c:showVal val="0"/>
            <c:showCatName val="0"/>
            <c:showSerName val="1"/>
            <c:showPercent val="0"/>
            <c:showBubbleSize val="0"/>
          </c:dLbls>
          <c:xVal>
            <c:strRef>
              <c:f>'2023_Stats'!$F$16</c:f>
            </c:strRef>
          </c:xVal>
          <c:yVal>
            <c:numRef>
              <c:f>'2023_Stats'!$A$16</c:f>
              <c:numCache/>
            </c:numRef>
          </c:yVal>
          <c:bubbleSize>
            <c:numLit>
              <c:ptCount val="1"/>
              <c:pt idx="0">
                <c:v>1</c:v>
              </c:pt>
            </c:numLit>
          </c:bubbleSize>
        </c:ser>
        <c:ser>
          <c:idx val="15"/>
          <c:order val="15"/>
          <c:tx>
            <c:strRef>
              <c:f>'2023_Stats'!$E$17</c:f>
            </c:strRef>
          </c:tx>
          <c:dLbls>
            <c:dLblPos val="ctr"/>
            <c:showLegendKey val="0"/>
            <c:showVal val="0"/>
            <c:showCatName val="0"/>
            <c:showSerName val="1"/>
            <c:showPercent val="0"/>
            <c:showBubbleSize val="0"/>
          </c:dLbls>
          <c:xVal>
            <c:strRef>
              <c:f>'2023_Stats'!$F$17</c:f>
            </c:strRef>
          </c:xVal>
          <c:yVal>
            <c:numRef>
              <c:f>'2023_Stats'!$A$17</c:f>
              <c:numCache/>
            </c:numRef>
          </c:yVal>
          <c:bubbleSize>
            <c:numLit>
              <c:ptCount val="1"/>
              <c:pt idx="0">
                <c:v>1</c:v>
              </c:pt>
            </c:numLit>
          </c:bubbleSize>
        </c:ser>
        <c:ser>
          <c:idx val="16"/>
          <c:order val="16"/>
          <c:tx>
            <c:strRef>
              <c:f>'2023_Stats'!$E$18</c:f>
            </c:strRef>
          </c:tx>
          <c:dLbls>
            <c:dLblPos val="ctr"/>
            <c:showLegendKey val="0"/>
            <c:showVal val="0"/>
            <c:showCatName val="0"/>
            <c:showSerName val="1"/>
            <c:showPercent val="0"/>
            <c:showBubbleSize val="0"/>
          </c:dLbls>
          <c:xVal>
            <c:strRef>
              <c:f>'2023_Stats'!$F$18</c:f>
            </c:strRef>
          </c:xVal>
          <c:yVal>
            <c:numRef>
              <c:f>'2023_Stats'!$A$18</c:f>
              <c:numCache/>
            </c:numRef>
          </c:yVal>
          <c:bubbleSize>
            <c:numLit>
              <c:ptCount val="1"/>
              <c:pt idx="0">
                <c:v>1</c:v>
              </c:pt>
            </c:numLit>
          </c:bubbleSize>
        </c:ser>
        <c:ser>
          <c:idx val="17"/>
          <c:order val="17"/>
          <c:tx>
            <c:strRef>
              <c:f>'2023_Stats'!$E$19</c:f>
            </c:strRef>
          </c:tx>
          <c:dLbls>
            <c:dLblPos val="ctr"/>
            <c:showLegendKey val="0"/>
            <c:showVal val="0"/>
            <c:showCatName val="0"/>
            <c:showSerName val="1"/>
            <c:showPercent val="0"/>
            <c:showBubbleSize val="0"/>
          </c:dLbls>
          <c:xVal>
            <c:strRef>
              <c:f>'2023_Stats'!$F$19</c:f>
            </c:strRef>
          </c:xVal>
          <c:yVal>
            <c:numRef>
              <c:f>'2023_Stats'!$A$19</c:f>
              <c:numCache/>
            </c:numRef>
          </c:yVal>
          <c:bubbleSize>
            <c:numLit>
              <c:ptCount val="1"/>
              <c:pt idx="0">
                <c:v>1</c:v>
              </c:pt>
            </c:numLit>
          </c:bubbleSize>
        </c:ser>
        <c:ser>
          <c:idx val="18"/>
          <c:order val="18"/>
          <c:tx>
            <c:strRef>
              <c:f>'2023_Stats'!$E$20</c:f>
            </c:strRef>
          </c:tx>
          <c:dLbls>
            <c:dLblPos val="ctr"/>
            <c:showLegendKey val="0"/>
            <c:showVal val="0"/>
            <c:showCatName val="0"/>
            <c:showSerName val="1"/>
            <c:showPercent val="0"/>
            <c:showBubbleSize val="0"/>
          </c:dLbls>
          <c:xVal>
            <c:strRef>
              <c:f>'2023_Stats'!$F$20</c:f>
            </c:strRef>
          </c:xVal>
          <c:yVal>
            <c:numRef>
              <c:f>'2023_Stats'!$A$20</c:f>
              <c:numCache/>
            </c:numRef>
          </c:yVal>
          <c:bubbleSize>
            <c:numLit>
              <c:ptCount val="1"/>
              <c:pt idx="0">
                <c:v>1</c:v>
              </c:pt>
            </c:numLit>
          </c:bubbleSize>
        </c:ser>
        <c:ser>
          <c:idx val="19"/>
          <c:order val="19"/>
          <c:tx>
            <c:strRef>
              <c:f>'2023_Stats'!$E$21</c:f>
            </c:strRef>
          </c:tx>
          <c:dLbls>
            <c:dLblPos val="ctr"/>
            <c:showLegendKey val="0"/>
            <c:showVal val="0"/>
            <c:showCatName val="0"/>
            <c:showSerName val="1"/>
            <c:showPercent val="0"/>
            <c:showBubbleSize val="0"/>
          </c:dLbls>
          <c:xVal>
            <c:strRef>
              <c:f>'2023_Stats'!$F$21</c:f>
            </c:strRef>
          </c:xVal>
          <c:yVal>
            <c:numRef>
              <c:f>'2023_Stats'!$A$21</c:f>
              <c:numCache/>
            </c:numRef>
          </c:yVal>
          <c:bubbleSize>
            <c:numLit>
              <c:ptCount val="1"/>
              <c:pt idx="0">
                <c:v>1</c:v>
              </c:pt>
            </c:numLit>
          </c:bubbleSize>
        </c:ser>
        <c:axId val="1520025714"/>
        <c:axId val="1663104217"/>
      </c:bubbleChart>
      <c:valAx>
        <c:axId val="15200257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3104217"/>
      </c:valAx>
      <c:valAx>
        <c:axId val="16631042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002571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IPL 2023- Player Value Ranking</a:t>
            </a:r>
          </a:p>
        </c:rich>
      </c:tx>
      <c:overlay val="0"/>
    </c:title>
    <c:plotArea>
      <c:layout/>
      <c:barChart>
        <c:barDir val="bar"/>
        <c:ser>
          <c:idx val="0"/>
          <c:order val="0"/>
          <c:tx>
            <c:strRef>
              <c:f>'2023_Stats'!$H$1</c:f>
            </c:strRef>
          </c:tx>
          <c:spPr>
            <a:solidFill>
              <a:srgbClr val="00FF00"/>
            </a:solidFill>
            <a:ln cmpd="sng">
              <a:noFill/>
            </a:ln>
          </c:spPr>
          <c:cat>
            <c:strRef>
              <c:f>'2023_Stats'!$A$2:$A$21</c:f>
            </c:strRef>
          </c:cat>
          <c:val>
            <c:numRef>
              <c:f>'2023_Stats'!$H$2:$H$21</c:f>
              <c:numCache/>
            </c:numRef>
          </c:val>
        </c:ser>
        <c:axId val="338603578"/>
        <c:axId val="424903760"/>
      </c:barChart>
      <c:catAx>
        <c:axId val="33860357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4903760"/>
      </c:catAx>
      <c:valAx>
        <c:axId val="4249037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8603578"/>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IPL 2023- Player Value Ranking</a:t>
            </a:r>
          </a:p>
        </c:rich>
      </c:tx>
      <c:overlay val="0"/>
    </c:title>
    <c:plotArea>
      <c:layout/>
      <c:barChart>
        <c:barDir val="bar"/>
        <c:ser>
          <c:idx val="0"/>
          <c:order val="0"/>
          <c:tx>
            <c:strRef>
              <c:f>'2023_Stats'!$H$1</c:f>
            </c:strRef>
          </c:tx>
          <c:spPr>
            <a:solidFill>
              <a:srgbClr val="00FF00"/>
            </a:solidFill>
            <a:ln cmpd="sng">
              <a:noFill/>
            </a:ln>
          </c:spPr>
          <c:cat>
            <c:strRef>
              <c:f>'2023_Stats'!$A$2:$A$21</c:f>
            </c:strRef>
          </c:cat>
          <c:val>
            <c:numRef>
              <c:f>'2023_Stats'!$H$2:$H$21</c:f>
              <c:numCache/>
            </c:numRef>
          </c:val>
        </c:ser>
        <c:axId val="1761713011"/>
        <c:axId val="1869713641"/>
      </c:barChart>
      <c:catAx>
        <c:axId val="17617130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9713641"/>
      </c:catAx>
      <c:valAx>
        <c:axId val="18697136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1713011"/>
        <c:crosses val="max"/>
      </c:valAx>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Paid vs Performance 2023</a:t>
            </a:r>
          </a:p>
        </c:rich>
      </c:tx>
      <c:overlay val="0"/>
    </c:title>
    <c:plotArea>
      <c:layout/>
      <c:bubbleChart>
        <c:ser>
          <c:idx val="0"/>
          <c:order val="0"/>
          <c:tx>
            <c:strRef>
              <c:f>'2023_Stats'!$E$2</c:f>
            </c:strRef>
          </c:tx>
          <c:dLbls>
            <c:dLblPos val="ctr"/>
            <c:showLegendKey val="0"/>
            <c:showVal val="0"/>
            <c:showCatName val="0"/>
            <c:showSerName val="1"/>
            <c:showPercent val="0"/>
            <c:showBubbleSize val="0"/>
          </c:dLbls>
          <c:xVal>
            <c:strRef>
              <c:f>'2023_Stats'!$F$2</c:f>
            </c:strRef>
          </c:xVal>
          <c:yVal>
            <c:numRef>
              <c:f>'2023_Stats'!$A$2</c:f>
              <c:numCache/>
            </c:numRef>
          </c:yVal>
          <c:bubbleSize>
            <c:numLit>
              <c:ptCount val="1"/>
              <c:pt idx="0">
                <c:v>1</c:v>
              </c:pt>
            </c:numLit>
          </c:bubbleSize>
        </c:ser>
        <c:ser>
          <c:idx val="1"/>
          <c:order val="1"/>
          <c:tx>
            <c:strRef>
              <c:f>'2023_Stats'!$E$3</c:f>
            </c:strRef>
          </c:tx>
          <c:dLbls>
            <c:dLblPos val="ctr"/>
            <c:showLegendKey val="0"/>
            <c:showVal val="0"/>
            <c:showCatName val="0"/>
            <c:showSerName val="1"/>
            <c:showPercent val="0"/>
            <c:showBubbleSize val="0"/>
          </c:dLbls>
          <c:xVal>
            <c:strRef>
              <c:f>'2023_Stats'!$F$3</c:f>
            </c:strRef>
          </c:xVal>
          <c:yVal>
            <c:numRef>
              <c:f>'2023_Stats'!$A$3</c:f>
              <c:numCache/>
            </c:numRef>
          </c:yVal>
          <c:bubbleSize>
            <c:numLit>
              <c:ptCount val="1"/>
              <c:pt idx="0">
                <c:v>1</c:v>
              </c:pt>
            </c:numLit>
          </c:bubbleSize>
        </c:ser>
        <c:ser>
          <c:idx val="2"/>
          <c:order val="2"/>
          <c:tx>
            <c:strRef>
              <c:f>'2023_Stats'!$E$4</c:f>
            </c:strRef>
          </c:tx>
          <c:dLbls>
            <c:dLblPos val="ctr"/>
            <c:showLegendKey val="0"/>
            <c:showVal val="0"/>
            <c:showCatName val="0"/>
            <c:showSerName val="1"/>
            <c:showPercent val="0"/>
            <c:showBubbleSize val="0"/>
          </c:dLbls>
          <c:xVal>
            <c:strRef>
              <c:f>'2023_Stats'!$F$4</c:f>
            </c:strRef>
          </c:xVal>
          <c:yVal>
            <c:numRef>
              <c:f>'2023_Stats'!$A$4</c:f>
              <c:numCache/>
            </c:numRef>
          </c:yVal>
          <c:bubbleSize>
            <c:numLit>
              <c:ptCount val="1"/>
              <c:pt idx="0">
                <c:v>1</c:v>
              </c:pt>
            </c:numLit>
          </c:bubbleSize>
        </c:ser>
        <c:ser>
          <c:idx val="3"/>
          <c:order val="3"/>
          <c:tx>
            <c:strRef>
              <c:f>'2023_Stats'!$E$5</c:f>
            </c:strRef>
          </c:tx>
          <c:dLbls>
            <c:dLblPos val="ctr"/>
            <c:showLegendKey val="0"/>
            <c:showVal val="0"/>
            <c:showCatName val="0"/>
            <c:showSerName val="1"/>
            <c:showPercent val="0"/>
            <c:showBubbleSize val="0"/>
          </c:dLbls>
          <c:xVal>
            <c:strRef>
              <c:f>'2023_Stats'!$F$5</c:f>
            </c:strRef>
          </c:xVal>
          <c:yVal>
            <c:numRef>
              <c:f>'2023_Stats'!$A$5</c:f>
              <c:numCache/>
            </c:numRef>
          </c:yVal>
          <c:bubbleSize>
            <c:numLit>
              <c:ptCount val="1"/>
              <c:pt idx="0">
                <c:v>1</c:v>
              </c:pt>
            </c:numLit>
          </c:bubbleSize>
        </c:ser>
        <c:ser>
          <c:idx val="4"/>
          <c:order val="4"/>
          <c:tx>
            <c:strRef>
              <c:f>'2023_Stats'!$E$6</c:f>
            </c:strRef>
          </c:tx>
          <c:dLbls>
            <c:dLblPos val="ctr"/>
            <c:showLegendKey val="0"/>
            <c:showVal val="0"/>
            <c:showCatName val="0"/>
            <c:showSerName val="1"/>
            <c:showPercent val="0"/>
            <c:showBubbleSize val="0"/>
          </c:dLbls>
          <c:xVal>
            <c:strRef>
              <c:f>'2023_Stats'!$F$6</c:f>
            </c:strRef>
          </c:xVal>
          <c:yVal>
            <c:numRef>
              <c:f>'2023_Stats'!$A$6</c:f>
              <c:numCache/>
            </c:numRef>
          </c:yVal>
          <c:bubbleSize>
            <c:numLit>
              <c:ptCount val="1"/>
              <c:pt idx="0">
                <c:v>1</c:v>
              </c:pt>
            </c:numLit>
          </c:bubbleSize>
        </c:ser>
        <c:ser>
          <c:idx val="5"/>
          <c:order val="5"/>
          <c:tx>
            <c:strRef>
              <c:f>'2023_Stats'!$E$7</c:f>
            </c:strRef>
          </c:tx>
          <c:dLbls>
            <c:dLblPos val="ctr"/>
            <c:showLegendKey val="0"/>
            <c:showVal val="0"/>
            <c:showCatName val="0"/>
            <c:showSerName val="1"/>
            <c:showPercent val="0"/>
            <c:showBubbleSize val="0"/>
          </c:dLbls>
          <c:xVal>
            <c:strRef>
              <c:f>'2023_Stats'!$F$7</c:f>
            </c:strRef>
          </c:xVal>
          <c:yVal>
            <c:numRef>
              <c:f>'2023_Stats'!$A$7</c:f>
              <c:numCache/>
            </c:numRef>
          </c:yVal>
          <c:bubbleSize>
            <c:numLit>
              <c:ptCount val="1"/>
              <c:pt idx="0">
                <c:v>1</c:v>
              </c:pt>
            </c:numLit>
          </c:bubbleSize>
        </c:ser>
        <c:ser>
          <c:idx val="6"/>
          <c:order val="6"/>
          <c:tx>
            <c:strRef>
              <c:f>'2023_Stats'!$E$8</c:f>
            </c:strRef>
          </c:tx>
          <c:dLbls>
            <c:dLblPos val="ctr"/>
            <c:showLegendKey val="0"/>
            <c:showVal val="0"/>
            <c:showCatName val="0"/>
            <c:showSerName val="1"/>
            <c:showPercent val="0"/>
            <c:showBubbleSize val="0"/>
          </c:dLbls>
          <c:xVal>
            <c:strRef>
              <c:f>'2023_Stats'!$F$8</c:f>
            </c:strRef>
          </c:xVal>
          <c:yVal>
            <c:numRef>
              <c:f>'2023_Stats'!$A$8</c:f>
              <c:numCache/>
            </c:numRef>
          </c:yVal>
          <c:bubbleSize>
            <c:numLit>
              <c:ptCount val="1"/>
              <c:pt idx="0">
                <c:v>1</c:v>
              </c:pt>
            </c:numLit>
          </c:bubbleSize>
        </c:ser>
        <c:ser>
          <c:idx val="7"/>
          <c:order val="7"/>
          <c:tx>
            <c:strRef>
              <c:f>'2023_Stats'!$E$9</c:f>
            </c:strRef>
          </c:tx>
          <c:dLbls>
            <c:dLblPos val="ctr"/>
            <c:showLegendKey val="0"/>
            <c:showVal val="0"/>
            <c:showCatName val="0"/>
            <c:showSerName val="1"/>
            <c:showPercent val="0"/>
            <c:showBubbleSize val="0"/>
          </c:dLbls>
          <c:xVal>
            <c:strRef>
              <c:f>'2023_Stats'!$F$9</c:f>
            </c:strRef>
          </c:xVal>
          <c:yVal>
            <c:numRef>
              <c:f>'2023_Stats'!$A$9</c:f>
              <c:numCache/>
            </c:numRef>
          </c:yVal>
          <c:bubbleSize>
            <c:numLit>
              <c:ptCount val="1"/>
              <c:pt idx="0">
                <c:v>1</c:v>
              </c:pt>
            </c:numLit>
          </c:bubbleSize>
        </c:ser>
        <c:ser>
          <c:idx val="8"/>
          <c:order val="8"/>
          <c:tx>
            <c:strRef>
              <c:f>'2023_Stats'!$E$10</c:f>
            </c:strRef>
          </c:tx>
          <c:dLbls>
            <c:dLblPos val="ctr"/>
            <c:showLegendKey val="0"/>
            <c:showVal val="0"/>
            <c:showCatName val="0"/>
            <c:showSerName val="1"/>
            <c:showPercent val="0"/>
            <c:showBubbleSize val="0"/>
          </c:dLbls>
          <c:xVal>
            <c:strRef>
              <c:f>'2023_Stats'!$F$10</c:f>
            </c:strRef>
          </c:xVal>
          <c:yVal>
            <c:numRef>
              <c:f>'2023_Stats'!$A$10</c:f>
              <c:numCache/>
            </c:numRef>
          </c:yVal>
          <c:bubbleSize>
            <c:numLit>
              <c:ptCount val="1"/>
              <c:pt idx="0">
                <c:v>1</c:v>
              </c:pt>
            </c:numLit>
          </c:bubbleSize>
        </c:ser>
        <c:ser>
          <c:idx val="9"/>
          <c:order val="9"/>
          <c:tx>
            <c:strRef>
              <c:f>'2023_Stats'!$E$11</c:f>
            </c:strRef>
          </c:tx>
          <c:dLbls>
            <c:dLblPos val="ctr"/>
            <c:showLegendKey val="0"/>
            <c:showVal val="0"/>
            <c:showCatName val="0"/>
            <c:showSerName val="1"/>
            <c:showPercent val="0"/>
            <c:showBubbleSize val="0"/>
          </c:dLbls>
          <c:xVal>
            <c:strRef>
              <c:f>'2023_Stats'!$F$11</c:f>
            </c:strRef>
          </c:xVal>
          <c:yVal>
            <c:numRef>
              <c:f>'2023_Stats'!$A$11</c:f>
              <c:numCache/>
            </c:numRef>
          </c:yVal>
          <c:bubbleSize>
            <c:numLit>
              <c:ptCount val="1"/>
              <c:pt idx="0">
                <c:v>1</c:v>
              </c:pt>
            </c:numLit>
          </c:bubbleSize>
        </c:ser>
        <c:ser>
          <c:idx val="10"/>
          <c:order val="10"/>
          <c:tx>
            <c:strRef>
              <c:f>'2023_Stats'!$E$12</c:f>
            </c:strRef>
          </c:tx>
          <c:dLbls>
            <c:dLblPos val="ctr"/>
            <c:showLegendKey val="0"/>
            <c:showVal val="0"/>
            <c:showCatName val="0"/>
            <c:showSerName val="1"/>
            <c:showPercent val="0"/>
            <c:showBubbleSize val="0"/>
          </c:dLbls>
          <c:xVal>
            <c:strRef>
              <c:f>'2023_Stats'!$F$12</c:f>
            </c:strRef>
          </c:xVal>
          <c:yVal>
            <c:numRef>
              <c:f>'2023_Stats'!$A$12</c:f>
              <c:numCache/>
            </c:numRef>
          </c:yVal>
          <c:bubbleSize>
            <c:numLit>
              <c:ptCount val="1"/>
              <c:pt idx="0">
                <c:v>1</c:v>
              </c:pt>
            </c:numLit>
          </c:bubbleSize>
        </c:ser>
        <c:ser>
          <c:idx val="11"/>
          <c:order val="11"/>
          <c:tx>
            <c:strRef>
              <c:f>'2023_Stats'!$E$13</c:f>
            </c:strRef>
          </c:tx>
          <c:dLbls>
            <c:dLblPos val="ctr"/>
            <c:showLegendKey val="0"/>
            <c:showVal val="0"/>
            <c:showCatName val="0"/>
            <c:showSerName val="1"/>
            <c:showPercent val="0"/>
            <c:showBubbleSize val="0"/>
          </c:dLbls>
          <c:xVal>
            <c:strRef>
              <c:f>'2023_Stats'!$F$13</c:f>
            </c:strRef>
          </c:xVal>
          <c:yVal>
            <c:numRef>
              <c:f>'2023_Stats'!$A$13</c:f>
              <c:numCache/>
            </c:numRef>
          </c:yVal>
          <c:bubbleSize>
            <c:numLit>
              <c:ptCount val="1"/>
              <c:pt idx="0">
                <c:v>1</c:v>
              </c:pt>
            </c:numLit>
          </c:bubbleSize>
        </c:ser>
        <c:ser>
          <c:idx val="12"/>
          <c:order val="12"/>
          <c:tx>
            <c:strRef>
              <c:f>'2023_Stats'!$E$14</c:f>
            </c:strRef>
          </c:tx>
          <c:dLbls>
            <c:dLblPos val="ctr"/>
            <c:showLegendKey val="0"/>
            <c:showVal val="0"/>
            <c:showCatName val="0"/>
            <c:showSerName val="1"/>
            <c:showPercent val="0"/>
            <c:showBubbleSize val="0"/>
          </c:dLbls>
          <c:xVal>
            <c:strRef>
              <c:f>'2023_Stats'!$F$14</c:f>
            </c:strRef>
          </c:xVal>
          <c:yVal>
            <c:numRef>
              <c:f>'2023_Stats'!$A$14</c:f>
              <c:numCache/>
            </c:numRef>
          </c:yVal>
          <c:bubbleSize>
            <c:numLit>
              <c:ptCount val="1"/>
              <c:pt idx="0">
                <c:v>1</c:v>
              </c:pt>
            </c:numLit>
          </c:bubbleSize>
        </c:ser>
        <c:ser>
          <c:idx val="13"/>
          <c:order val="13"/>
          <c:tx>
            <c:strRef>
              <c:f>'2023_Stats'!$E$15</c:f>
            </c:strRef>
          </c:tx>
          <c:dLbls>
            <c:dLblPos val="ctr"/>
            <c:showLegendKey val="0"/>
            <c:showVal val="0"/>
            <c:showCatName val="0"/>
            <c:showSerName val="1"/>
            <c:showPercent val="0"/>
            <c:showBubbleSize val="0"/>
          </c:dLbls>
          <c:xVal>
            <c:strRef>
              <c:f>'2023_Stats'!$F$15</c:f>
            </c:strRef>
          </c:xVal>
          <c:yVal>
            <c:numRef>
              <c:f>'2023_Stats'!$A$15</c:f>
              <c:numCache/>
            </c:numRef>
          </c:yVal>
          <c:bubbleSize>
            <c:numLit>
              <c:ptCount val="1"/>
              <c:pt idx="0">
                <c:v>1</c:v>
              </c:pt>
            </c:numLit>
          </c:bubbleSize>
        </c:ser>
        <c:ser>
          <c:idx val="14"/>
          <c:order val="14"/>
          <c:tx>
            <c:strRef>
              <c:f>'2023_Stats'!$E$16</c:f>
            </c:strRef>
          </c:tx>
          <c:dLbls>
            <c:dLblPos val="ctr"/>
            <c:showLegendKey val="0"/>
            <c:showVal val="0"/>
            <c:showCatName val="0"/>
            <c:showSerName val="1"/>
            <c:showPercent val="0"/>
            <c:showBubbleSize val="0"/>
          </c:dLbls>
          <c:xVal>
            <c:strRef>
              <c:f>'2023_Stats'!$F$16</c:f>
            </c:strRef>
          </c:xVal>
          <c:yVal>
            <c:numRef>
              <c:f>'2023_Stats'!$A$16</c:f>
              <c:numCache/>
            </c:numRef>
          </c:yVal>
          <c:bubbleSize>
            <c:numLit>
              <c:ptCount val="1"/>
              <c:pt idx="0">
                <c:v>1</c:v>
              </c:pt>
            </c:numLit>
          </c:bubbleSize>
        </c:ser>
        <c:ser>
          <c:idx val="15"/>
          <c:order val="15"/>
          <c:tx>
            <c:strRef>
              <c:f>'2023_Stats'!$E$17</c:f>
            </c:strRef>
          </c:tx>
          <c:dLbls>
            <c:dLblPos val="ctr"/>
            <c:showLegendKey val="0"/>
            <c:showVal val="0"/>
            <c:showCatName val="0"/>
            <c:showSerName val="1"/>
            <c:showPercent val="0"/>
            <c:showBubbleSize val="0"/>
          </c:dLbls>
          <c:xVal>
            <c:strRef>
              <c:f>'2023_Stats'!$F$17</c:f>
            </c:strRef>
          </c:xVal>
          <c:yVal>
            <c:numRef>
              <c:f>'2023_Stats'!$A$17</c:f>
              <c:numCache/>
            </c:numRef>
          </c:yVal>
          <c:bubbleSize>
            <c:numLit>
              <c:ptCount val="1"/>
              <c:pt idx="0">
                <c:v>1</c:v>
              </c:pt>
            </c:numLit>
          </c:bubbleSize>
        </c:ser>
        <c:ser>
          <c:idx val="16"/>
          <c:order val="16"/>
          <c:tx>
            <c:strRef>
              <c:f>'2023_Stats'!$E$18</c:f>
            </c:strRef>
          </c:tx>
          <c:dLbls>
            <c:dLblPos val="ctr"/>
            <c:showLegendKey val="0"/>
            <c:showVal val="0"/>
            <c:showCatName val="0"/>
            <c:showSerName val="1"/>
            <c:showPercent val="0"/>
            <c:showBubbleSize val="0"/>
          </c:dLbls>
          <c:xVal>
            <c:strRef>
              <c:f>'2023_Stats'!$F$18</c:f>
            </c:strRef>
          </c:xVal>
          <c:yVal>
            <c:numRef>
              <c:f>'2023_Stats'!$A$18</c:f>
              <c:numCache/>
            </c:numRef>
          </c:yVal>
          <c:bubbleSize>
            <c:numLit>
              <c:ptCount val="1"/>
              <c:pt idx="0">
                <c:v>1</c:v>
              </c:pt>
            </c:numLit>
          </c:bubbleSize>
        </c:ser>
        <c:ser>
          <c:idx val="17"/>
          <c:order val="17"/>
          <c:tx>
            <c:strRef>
              <c:f>'2023_Stats'!$E$19</c:f>
            </c:strRef>
          </c:tx>
          <c:dLbls>
            <c:dLblPos val="ctr"/>
            <c:showLegendKey val="0"/>
            <c:showVal val="0"/>
            <c:showCatName val="0"/>
            <c:showSerName val="1"/>
            <c:showPercent val="0"/>
            <c:showBubbleSize val="0"/>
          </c:dLbls>
          <c:xVal>
            <c:strRef>
              <c:f>'2023_Stats'!$F$19</c:f>
            </c:strRef>
          </c:xVal>
          <c:yVal>
            <c:numRef>
              <c:f>'2023_Stats'!$A$19</c:f>
              <c:numCache/>
            </c:numRef>
          </c:yVal>
          <c:bubbleSize>
            <c:numLit>
              <c:ptCount val="1"/>
              <c:pt idx="0">
                <c:v>1</c:v>
              </c:pt>
            </c:numLit>
          </c:bubbleSize>
        </c:ser>
        <c:ser>
          <c:idx val="18"/>
          <c:order val="18"/>
          <c:tx>
            <c:strRef>
              <c:f>'2023_Stats'!$E$20</c:f>
            </c:strRef>
          </c:tx>
          <c:dLbls>
            <c:dLblPos val="ctr"/>
            <c:showLegendKey val="0"/>
            <c:showVal val="0"/>
            <c:showCatName val="0"/>
            <c:showSerName val="1"/>
            <c:showPercent val="0"/>
            <c:showBubbleSize val="0"/>
          </c:dLbls>
          <c:xVal>
            <c:strRef>
              <c:f>'2023_Stats'!$F$20</c:f>
            </c:strRef>
          </c:xVal>
          <c:yVal>
            <c:numRef>
              <c:f>'2023_Stats'!$A$20</c:f>
              <c:numCache/>
            </c:numRef>
          </c:yVal>
          <c:bubbleSize>
            <c:numLit>
              <c:ptCount val="1"/>
              <c:pt idx="0">
                <c:v>1</c:v>
              </c:pt>
            </c:numLit>
          </c:bubbleSize>
        </c:ser>
        <c:ser>
          <c:idx val="19"/>
          <c:order val="19"/>
          <c:tx>
            <c:strRef>
              <c:f>'2023_Stats'!$E$21</c:f>
            </c:strRef>
          </c:tx>
          <c:dLbls>
            <c:dLblPos val="ctr"/>
            <c:showLegendKey val="0"/>
            <c:showVal val="0"/>
            <c:showCatName val="0"/>
            <c:showSerName val="1"/>
            <c:showPercent val="0"/>
            <c:showBubbleSize val="0"/>
          </c:dLbls>
          <c:xVal>
            <c:strRef>
              <c:f>'2023_Stats'!$F$21</c:f>
            </c:strRef>
          </c:xVal>
          <c:yVal>
            <c:numRef>
              <c:f>'2023_Stats'!$A$21</c:f>
              <c:numCache/>
            </c:numRef>
          </c:yVal>
          <c:bubbleSize>
            <c:numLit>
              <c:ptCount val="1"/>
              <c:pt idx="0">
                <c:v>1</c:v>
              </c:pt>
            </c:numLit>
          </c:bubbleSize>
        </c:ser>
        <c:axId val="43767775"/>
        <c:axId val="97339054"/>
      </c:bubbleChart>
      <c:valAx>
        <c:axId val="4376777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339054"/>
      </c:valAx>
      <c:valAx>
        <c:axId val="973390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767775"/>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IPL 2022 Player Value Ranking</a:t>
            </a:r>
          </a:p>
        </c:rich>
      </c:tx>
      <c:overlay val="0"/>
    </c:title>
    <c:plotArea>
      <c:layout/>
      <c:barChart>
        <c:barDir val="bar"/>
        <c:ser>
          <c:idx val="0"/>
          <c:order val="0"/>
          <c:tx>
            <c:strRef>
              <c:f>'2022_Stats'!$G$1</c:f>
            </c:strRef>
          </c:tx>
          <c:spPr>
            <a:solidFill>
              <a:schemeClr val="accent1"/>
            </a:solidFill>
            <a:ln cmpd="sng">
              <a:noFill/>
            </a:ln>
          </c:spPr>
          <c:cat>
            <c:strRef>
              <c:f>'2022_Stats'!$A$2:$A$21</c:f>
            </c:strRef>
          </c:cat>
          <c:val>
            <c:numRef>
              <c:f>'2022_Stats'!$G$2:$G$21</c:f>
              <c:numCache/>
            </c:numRef>
          </c:val>
        </c:ser>
        <c:axId val="1826363143"/>
        <c:axId val="466269373"/>
      </c:barChart>
      <c:catAx>
        <c:axId val="18263631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6269373"/>
      </c:catAx>
      <c:valAx>
        <c:axId val="46626937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6363143"/>
        <c:crosses val="max"/>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Paid vs Performance 2022</a:t>
            </a:r>
          </a:p>
        </c:rich>
      </c:tx>
      <c:overlay val="0"/>
    </c:title>
    <c:plotArea>
      <c:layout/>
      <c:bubbleChart>
        <c:ser>
          <c:idx val="0"/>
          <c:order val="0"/>
          <c:tx>
            <c:strRef>
              <c:f>'2022_Stats'!$E$2</c:f>
            </c:strRef>
          </c:tx>
          <c:dLbls>
            <c:dLblPos val="ctr"/>
            <c:showLegendKey val="0"/>
            <c:showVal val="0"/>
            <c:showCatName val="0"/>
            <c:showSerName val="1"/>
            <c:showPercent val="0"/>
            <c:showBubbleSize val="0"/>
          </c:dLbls>
          <c:xVal>
            <c:strRef>
              <c:f>'2022_Stats'!$F$2</c:f>
            </c:strRef>
          </c:xVal>
          <c:yVal>
            <c:numRef>
              <c:f>'2022_Stats'!$A$2</c:f>
              <c:numCache/>
            </c:numRef>
          </c:yVal>
          <c:bubbleSize>
            <c:numLit>
              <c:ptCount val="1"/>
              <c:pt idx="0">
                <c:v>1</c:v>
              </c:pt>
            </c:numLit>
          </c:bubbleSize>
        </c:ser>
        <c:ser>
          <c:idx val="1"/>
          <c:order val="1"/>
          <c:tx>
            <c:strRef>
              <c:f>'2022_Stats'!$E$3</c:f>
            </c:strRef>
          </c:tx>
          <c:dLbls>
            <c:dLblPos val="ctr"/>
            <c:showLegendKey val="0"/>
            <c:showVal val="0"/>
            <c:showCatName val="0"/>
            <c:showSerName val="1"/>
            <c:showPercent val="0"/>
            <c:showBubbleSize val="0"/>
          </c:dLbls>
          <c:xVal>
            <c:strRef>
              <c:f>'2022_Stats'!$F$3</c:f>
            </c:strRef>
          </c:xVal>
          <c:yVal>
            <c:numRef>
              <c:f>'2022_Stats'!$A$3</c:f>
              <c:numCache/>
            </c:numRef>
          </c:yVal>
          <c:bubbleSize>
            <c:numLit>
              <c:ptCount val="1"/>
              <c:pt idx="0">
                <c:v>1</c:v>
              </c:pt>
            </c:numLit>
          </c:bubbleSize>
        </c:ser>
        <c:ser>
          <c:idx val="2"/>
          <c:order val="2"/>
          <c:tx>
            <c:strRef>
              <c:f>'2022_Stats'!$E$4</c:f>
            </c:strRef>
          </c:tx>
          <c:dLbls>
            <c:dLblPos val="ctr"/>
            <c:showLegendKey val="0"/>
            <c:showVal val="0"/>
            <c:showCatName val="0"/>
            <c:showSerName val="1"/>
            <c:showPercent val="0"/>
            <c:showBubbleSize val="0"/>
          </c:dLbls>
          <c:xVal>
            <c:strRef>
              <c:f>'2022_Stats'!$F$4</c:f>
            </c:strRef>
          </c:xVal>
          <c:yVal>
            <c:numRef>
              <c:f>'2022_Stats'!$A$4</c:f>
              <c:numCache/>
            </c:numRef>
          </c:yVal>
          <c:bubbleSize>
            <c:numLit>
              <c:ptCount val="1"/>
              <c:pt idx="0">
                <c:v>1</c:v>
              </c:pt>
            </c:numLit>
          </c:bubbleSize>
        </c:ser>
        <c:ser>
          <c:idx val="3"/>
          <c:order val="3"/>
          <c:tx>
            <c:strRef>
              <c:f>'2022_Stats'!$E$5</c:f>
            </c:strRef>
          </c:tx>
          <c:dLbls>
            <c:dLblPos val="ctr"/>
            <c:showLegendKey val="0"/>
            <c:showVal val="0"/>
            <c:showCatName val="0"/>
            <c:showSerName val="1"/>
            <c:showPercent val="0"/>
            <c:showBubbleSize val="0"/>
          </c:dLbls>
          <c:xVal>
            <c:strRef>
              <c:f>'2022_Stats'!$F$5</c:f>
            </c:strRef>
          </c:xVal>
          <c:yVal>
            <c:numRef>
              <c:f>'2022_Stats'!$A$5</c:f>
              <c:numCache/>
            </c:numRef>
          </c:yVal>
          <c:bubbleSize>
            <c:numLit>
              <c:ptCount val="1"/>
              <c:pt idx="0">
                <c:v>1</c:v>
              </c:pt>
            </c:numLit>
          </c:bubbleSize>
        </c:ser>
        <c:ser>
          <c:idx val="4"/>
          <c:order val="4"/>
          <c:tx>
            <c:strRef>
              <c:f>'2022_Stats'!$E$6</c:f>
            </c:strRef>
          </c:tx>
          <c:dLbls>
            <c:dLblPos val="ctr"/>
            <c:showLegendKey val="0"/>
            <c:showVal val="0"/>
            <c:showCatName val="0"/>
            <c:showSerName val="1"/>
            <c:showPercent val="0"/>
            <c:showBubbleSize val="0"/>
          </c:dLbls>
          <c:xVal>
            <c:strRef>
              <c:f>'2022_Stats'!$F$6</c:f>
            </c:strRef>
          </c:xVal>
          <c:yVal>
            <c:numRef>
              <c:f>'2022_Stats'!$A$6</c:f>
              <c:numCache/>
            </c:numRef>
          </c:yVal>
          <c:bubbleSize>
            <c:numLit>
              <c:ptCount val="1"/>
              <c:pt idx="0">
                <c:v>1</c:v>
              </c:pt>
            </c:numLit>
          </c:bubbleSize>
        </c:ser>
        <c:ser>
          <c:idx val="5"/>
          <c:order val="5"/>
          <c:tx>
            <c:strRef>
              <c:f>'2022_Stats'!$E$7</c:f>
            </c:strRef>
          </c:tx>
          <c:dLbls>
            <c:dLblPos val="ctr"/>
            <c:showLegendKey val="0"/>
            <c:showVal val="0"/>
            <c:showCatName val="0"/>
            <c:showSerName val="1"/>
            <c:showPercent val="0"/>
            <c:showBubbleSize val="0"/>
          </c:dLbls>
          <c:xVal>
            <c:strRef>
              <c:f>'2022_Stats'!$F$7</c:f>
            </c:strRef>
          </c:xVal>
          <c:yVal>
            <c:numRef>
              <c:f>'2022_Stats'!$A$7</c:f>
              <c:numCache/>
            </c:numRef>
          </c:yVal>
          <c:bubbleSize>
            <c:numLit>
              <c:ptCount val="1"/>
              <c:pt idx="0">
                <c:v>1</c:v>
              </c:pt>
            </c:numLit>
          </c:bubbleSize>
        </c:ser>
        <c:ser>
          <c:idx val="6"/>
          <c:order val="6"/>
          <c:tx>
            <c:strRef>
              <c:f>'2022_Stats'!$E$8</c:f>
            </c:strRef>
          </c:tx>
          <c:dLbls>
            <c:dLblPos val="ctr"/>
            <c:showLegendKey val="0"/>
            <c:showVal val="0"/>
            <c:showCatName val="0"/>
            <c:showSerName val="1"/>
            <c:showPercent val="0"/>
            <c:showBubbleSize val="0"/>
          </c:dLbls>
          <c:xVal>
            <c:strRef>
              <c:f>'2022_Stats'!$F$8</c:f>
            </c:strRef>
          </c:xVal>
          <c:yVal>
            <c:numRef>
              <c:f>'2022_Stats'!$A$8</c:f>
              <c:numCache/>
            </c:numRef>
          </c:yVal>
          <c:bubbleSize>
            <c:numLit>
              <c:ptCount val="1"/>
              <c:pt idx="0">
                <c:v>1</c:v>
              </c:pt>
            </c:numLit>
          </c:bubbleSize>
        </c:ser>
        <c:ser>
          <c:idx val="7"/>
          <c:order val="7"/>
          <c:tx>
            <c:strRef>
              <c:f>'2022_Stats'!$E$9</c:f>
            </c:strRef>
          </c:tx>
          <c:dLbls>
            <c:dLblPos val="ctr"/>
            <c:showLegendKey val="0"/>
            <c:showVal val="0"/>
            <c:showCatName val="0"/>
            <c:showSerName val="1"/>
            <c:showPercent val="0"/>
            <c:showBubbleSize val="0"/>
          </c:dLbls>
          <c:xVal>
            <c:strRef>
              <c:f>'2022_Stats'!$F$9</c:f>
            </c:strRef>
          </c:xVal>
          <c:yVal>
            <c:numRef>
              <c:f>'2022_Stats'!$A$9</c:f>
              <c:numCache/>
            </c:numRef>
          </c:yVal>
          <c:bubbleSize>
            <c:numLit>
              <c:ptCount val="1"/>
              <c:pt idx="0">
                <c:v>1</c:v>
              </c:pt>
            </c:numLit>
          </c:bubbleSize>
        </c:ser>
        <c:ser>
          <c:idx val="8"/>
          <c:order val="8"/>
          <c:tx>
            <c:strRef>
              <c:f>'2022_Stats'!$E$10</c:f>
            </c:strRef>
          </c:tx>
          <c:dLbls>
            <c:dLblPos val="ctr"/>
            <c:showLegendKey val="0"/>
            <c:showVal val="0"/>
            <c:showCatName val="0"/>
            <c:showSerName val="1"/>
            <c:showPercent val="0"/>
            <c:showBubbleSize val="0"/>
          </c:dLbls>
          <c:xVal>
            <c:strRef>
              <c:f>'2022_Stats'!$F$10</c:f>
            </c:strRef>
          </c:xVal>
          <c:yVal>
            <c:numRef>
              <c:f>'2022_Stats'!$A$10</c:f>
              <c:numCache/>
            </c:numRef>
          </c:yVal>
          <c:bubbleSize>
            <c:numLit>
              <c:ptCount val="1"/>
              <c:pt idx="0">
                <c:v>1</c:v>
              </c:pt>
            </c:numLit>
          </c:bubbleSize>
        </c:ser>
        <c:ser>
          <c:idx val="9"/>
          <c:order val="9"/>
          <c:tx>
            <c:strRef>
              <c:f>'2022_Stats'!$E$11</c:f>
            </c:strRef>
          </c:tx>
          <c:dLbls>
            <c:dLblPos val="ctr"/>
            <c:showLegendKey val="0"/>
            <c:showVal val="0"/>
            <c:showCatName val="0"/>
            <c:showSerName val="1"/>
            <c:showPercent val="0"/>
            <c:showBubbleSize val="0"/>
          </c:dLbls>
          <c:xVal>
            <c:strRef>
              <c:f>'2022_Stats'!$F$11</c:f>
            </c:strRef>
          </c:xVal>
          <c:yVal>
            <c:numRef>
              <c:f>'2022_Stats'!$A$11</c:f>
              <c:numCache/>
            </c:numRef>
          </c:yVal>
          <c:bubbleSize>
            <c:numLit>
              <c:ptCount val="1"/>
              <c:pt idx="0">
                <c:v>1</c:v>
              </c:pt>
            </c:numLit>
          </c:bubbleSize>
        </c:ser>
        <c:ser>
          <c:idx val="10"/>
          <c:order val="10"/>
          <c:tx>
            <c:strRef>
              <c:f>'2022_Stats'!$E$12</c:f>
            </c:strRef>
          </c:tx>
          <c:dLbls>
            <c:dLblPos val="ctr"/>
            <c:showLegendKey val="0"/>
            <c:showVal val="0"/>
            <c:showCatName val="0"/>
            <c:showSerName val="1"/>
            <c:showPercent val="0"/>
            <c:showBubbleSize val="0"/>
          </c:dLbls>
          <c:xVal>
            <c:strRef>
              <c:f>'2022_Stats'!$F$12</c:f>
            </c:strRef>
          </c:xVal>
          <c:yVal>
            <c:numRef>
              <c:f>'2022_Stats'!$A$12</c:f>
              <c:numCache/>
            </c:numRef>
          </c:yVal>
          <c:bubbleSize>
            <c:numLit>
              <c:ptCount val="1"/>
              <c:pt idx="0">
                <c:v>1</c:v>
              </c:pt>
            </c:numLit>
          </c:bubbleSize>
        </c:ser>
        <c:ser>
          <c:idx val="11"/>
          <c:order val="11"/>
          <c:tx>
            <c:strRef>
              <c:f>'2022_Stats'!$E$13</c:f>
            </c:strRef>
          </c:tx>
          <c:dLbls>
            <c:dLblPos val="ctr"/>
            <c:showLegendKey val="0"/>
            <c:showVal val="0"/>
            <c:showCatName val="0"/>
            <c:showSerName val="1"/>
            <c:showPercent val="0"/>
            <c:showBubbleSize val="0"/>
          </c:dLbls>
          <c:xVal>
            <c:strRef>
              <c:f>'2022_Stats'!$F$13</c:f>
            </c:strRef>
          </c:xVal>
          <c:yVal>
            <c:numRef>
              <c:f>'2022_Stats'!$A$13</c:f>
              <c:numCache/>
            </c:numRef>
          </c:yVal>
          <c:bubbleSize>
            <c:numLit>
              <c:ptCount val="1"/>
              <c:pt idx="0">
                <c:v>1</c:v>
              </c:pt>
            </c:numLit>
          </c:bubbleSize>
        </c:ser>
        <c:ser>
          <c:idx val="12"/>
          <c:order val="12"/>
          <c:tx>
            <c:strRef>
              <c:f>'2022_Stats'!$E$14</c:f>
            </c:strRef>
          </c:tx>
          <c:dLbls>
            <c:dLblPos val="ctr"/>
            <c:showLegendKey val="0"/>
            <c:showVal val="0"/>
            <c:showCatName val="0"/>
            <c:showSerName val="1"/>
            <c:showPercent val="0"/>
            <c:showBubbleSize val="0"/>
          </c:dLbls>
          <c:xVal>
            <c:strRef>
              <c:f>'2022_Stats'!$F$14</c:f>
            </c:strRef>
          </c:xVal>
          <c:yVal>
            <c:numRef>
              <c:f>'2022_Stats'!$A$14</c:f>
              <c:numCache/>
            </c:numRef>
          </c:yVal>
          <c:bubbleSize>
            <c:numLit>
              <c:ptCount val="1"/>
              <c:pt idx="0">
                <c:v>1</c:v>
              </c:pt>
            </c:numLit>
          </c:bubbleSize>
        </c:ser>
        <c:ser>
          <c:idx val="13"/>
          <c:order val="13"/>
          <c:tx>
            <c:strRef>
              <c:f>'2022_Stats'!$E$15</c:f>
            </c:strRef>
          </c:tx>
          <c:dLbls>
            <c:dLblPos val="ctr"/>
            <c:showLegendKey val="0"/>
            <c:showVal val="0"/>
            <c:showCatName val="0"/>
            <c:showSerName val="1"/>
            <c:showPercent val="0"/>
            <c:showBubbleSize val="0"/>
          </c:dLbls>
          <c:xVal>
            <c:strRef>
              <c:f>'2022_Stats'!$F$15</c:f>
            </c:strRef>
          </c:xVal>
          <c:yVal>
            <c:numRef>
              <c:f>'2022_Stats'!$A$15</c:f>
              <c:numCache/>
            </c:numRef>
          </c:yVal>
          <c:bubbleSize>
            <c:numLit>
              <c:ptCount val="1"/>
              <c:pt idx="0">
                <c:v>1</c:v>
              </c:pt>
            </c:numLit>
          </c:bubbleSize>
        </c:ser>
        <c:ser>
          <c:idx val="14"/>
          <c:order val="14"/>
          <c:tx>
            <c:strRef>
              <c:f>'2022_Stats'!$E$16</c:f>
            </c:strRef>
          </c:tx>
          <c:dLbls>
            <c:dLblPos val="ctr"/>
            <c:showLegendKey val="0"/>
            <c:showVal val="0"/>
            <c:showCatName val="0"/>
            <c:showSerName val="1"/>
            <c:showPercent val="0"/>
            <c:showBubbleSize val="0"/>
          </c:dLbls>
          <c:xVal>
            <c:strRef>
              <c:f>'2022_Stats'!$F$16</c:f>
            </c:strRef>
          </c:xVal>
          <c:yVal>
            <c:numRef>
              <c:f>'2022_Stats'!$A$16</c:f>
              <c:numCache/>
            </c:numRef>
          </c:yVal>
          <c:bubbleSize>
            <c:numLit>
              <c:ptCount val="1"/>
              <c:pt idx="0">
                <c:v>1</c:v>
              </c:pt>
            </c:numLit>
          </c:bubbleSize>
        </c:ser>
        <c:ser>
          <c:idx val="15"/>
          <c:order val="15"/>
          <c:tx>
            <c:strRef>
              <c:f>'2022_Stats'!$E$17</c:f>
            </c:strRef>
          </c:tx>
          <c:dLbls>
            <c:dLblPos val="ctr"/>
            <c:showLegendKey val="0"/>
            <c:showVal val="0"/>
            <c:showCatName val="0"/>
            <c:showSerName val="1"/>
            <c:showPercent val="0"/>
            <c:showBubbleSize val="0"/>
          </c:dLbls>
          <c:xVal>
            <c:strRef>
              <c:f>'2022_Stats'!$F$17</c:f>
            </c:strRef>
          </c:xVal>
          <c:yVal>
            <c:numRef>
              <c:f>'2022_Stats'!$A$17</c:f>
              <c:numCache/>
            </c:numRef>
          </c:yVal>
          <c:bubbleSize>
            <c:numLit>
              <c:ptCount val="1"/>
              <c:pt idx="0">
                <c:v>1</c:v>
              </c:pt>
            </c:numLit>
          </c:bubbleSize>
        </c:ser>
        <c:ser>
          <c:idx val="16"/>
          <c:order val="16"/>
          <c:tx>
            <c:strRef>
              <c:f>'2022_Stats'!$E$18</c:f>
            </c:strRef>
          </c:tx>
          <c:dLbls>
            <c:dLblPos val="ctr"/>
            <c:showLegendKey val="0"/>
            <c:showVal val="0"/>
            <c:showCatName val="0"/>
            <c:showSerName val="1"/>
            <c:showPercent val="0"/>
            <c:showBubbleSize val="0"/>
          </c:dLbls>
          <c:xVal>
            <c:strRef>
              <c:f>'2022_Stats'!$F$18</c:f>
            </c:strRef>
          </c:xVal>
          <c:yVal>
            <c:numRef>
              <c:f>'2022_Stats'!$A$18</c:f>
              <c:numCache/>
            </c:numRef>
          </c:yVal>
          <c:bubbleSize>
            <c:numLit>
              <c:ptCount val="1"/>
              <c:pt idx="0">
                <c:v>1</c:v>
              </c:pt>
            </c:numLit>
          </c:bubbleSize>
        </c:ser>
        <c:ser>
          <c:idx val="17"/>
          <c:order val="17"/>
          <c:tx>
            <c:strRef>
              <c:f>'2022_Stats'!$E$19</c:f>
            </c:strRef>
          </c:tx>
          <c:dLbls>
            <c:dLblPos val="ctr"/>
            <c:showLegendKey val="0"/>
            <c:showVal val="0"/>
            <c:showCatName val="0"/>
            <c:showSerName val="1"/>
            <c:showPercent val="0"/>
            <c:showBubbleSize val="0"/>
          </c:dLbls>
          <c:xVal>
            <c:strRef>
              <c:f>'2022_Stats'!$F$19</c:f>
            </c:strRef>
          </c:xVal>
          <c:yVal>
            <c:numRef>
              <c:f>'2022_Stats'!$A$19</c:f>
              <c:numCache/>
            </c:numRef>
          </c:yVal>
          <c:bubbleSize>
            <c:numLit>
              <c:ptCount val="1"/>
              <c:pt idx="0">
                <c:v>1</c:v>
              </c:pt>
            </c:numLit>
          </c:bubbleSize>
        </c:ser>
        <c:ser>
          <c:idx val="18"/>
          <c:order val="18"/>
          <c:tx>
            <c:strRef>
              <c:f>'2022_Stats'!$E$20</c:f>
            </c:strRef>
          </c:tx>
          <c:dLbls>
            <c:dLblPos val="ctr"/>
            <c:showLegendKey val="0"/>
            <c:showVal val="0"/>
            <c:showCatName val="0"/>
            <c:showSerName val="1"/>
            <c:showPercent val="0"/>
            <c:showBubbleSize val="0"/>
          </c:dLbls>
          <c:xVal>
            <c:strRef>
              <c:f>'2022_Stats'!$F$20</c:f>
            </c:strRef>
          </c:xVal>
          <c:yVal>
            <c:numRef>
              <c:f>'2022_Stats'!$A$20</c:f>
              <c:numCache/>
            </c:numRef>
          </c:yVal>
          <c:bubbleSize>
            <c:numLit>
              <c:ptCount val="1"/>
              <c:pt idx="0">
                <c:v>1</c:v>
              </c:pt>
            </c:numLit>
          </c:bubbleSize>
        </c:ser>
        <c:ser>
          <c:idx val="19"/>
          <c:order val="19"/>
          <c:tx>
            <c:strRef>
              <c:f>'2022_Stats'!$E$21</c:f>
            </c:strRef>
          </c:tx>
          <c:dLbls>
            <c:dLblPos val="ctr"/>
            <c:showLegendKey val="0"/>
            <c:showVal val="0"/>
            <c:showCatName val="0"/>
            <c:showSerName val="1"/>
            <c:showPercent val="0"/>
            <c:showBubbleSize val="0"/>
          </c:dLbls>
          <c:xVal>
            <c:strRef>
              <c:f>'2022_Stats'!$F$21</c:f>
            </c:strRef>
          </c:xVal>
          <c:yVal>
            <c:numRef>
              <c:f>'2022_Stats'!$A$21</c:f>
              <c:numCache/>
            </c:numRef>
          </c:yVal>
          <c:bubbleSize>
            <c:numLit>
              <c:ptCount val="1"/>
              <c:pt idx="0">
                <c:v>1</c:v>
              </c:pt>
            </c:numLit>
          </c:bubbleSize>
        </c:ser>
        <c:axId val="1614889949"/>
        <c:axId val="1810534071"/>
      </c:bubbleChart>
      <c:valAx>
        <c:axId val="16148899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0534071"/>
      </c:valAx>
      <c:valAx>
        <c:axId val="18105340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4889949"/>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image" Target="../media/Chart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190500</xdr:rowOff>
    </xdr:from>
    <xdr:ext cx="48006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7762875</xdr:colOff>
      <xdr:row>1</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23</xdr:row>
      <xdr:rowOff>180975</xdr:rowOff>
    </xdr:from>
    <xdr:ext cx="13420725" cy="2209800"/>
    <xdr:pic>
      <xdr:nvPicPr>
        <xdr:cNvPr id="199239957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4848225</xdr:colOff>
      <xdr:row>4</xdr:row>
      <xdr:rowOff>9525</xdr:rowOff>
    </xdr:from>
    <xdr:ext cx="2857500" cy="2857500"/>
    <mc:AlternateContent>
      <mc:Choice Requires="sle15">
        <xdr:graphicFrame>
          <xdr:nvGraphicFramePr>
            <xdr:cNvPr id="1" name="season_1"/>
            <xdr:cNvGraphicFramePr/>
          </xdr:nvGraphicFramePr>
          <xdr:xfrm>
            <a:off x="0" y="0"/>
            <a:ext cx="0" cy="0"/>
          </xdr:xfrm>
          <a:graphic>
            <a:graphicData uri="http://schemas.microsoft.com/office/drawing/2010/slicer">
              <x3Unk:slicer name="seas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4848225</xdr:colOff>
      <xdr:row>6</xdr:row>
      <xdr:rowOff>152400</xdr:rowOff>
    </xdr:from>
    <xdr:ext cx="2857500" cy="2857500"/>
    <mc:AlternateContent>
      <mc:Choice Requires="sle15">
        <xdr:graphicFrame>
          <xdr:nvGraphicFramePr>
            <xdr:cNvPr id="2" name="player_role_2"/>
            <xdr:cNvGraphicFramePr/>
          </xdr:nvGraphicFramePr>
          <xdr:xfrm>
            <a:off x="0" y="0"/>
            <a:ext cx="0" cy="0"/>
          </xdr:xfrm>
          <a:graphic>
            <a:graphicData uri="http://schemas.microsoft.com/office/drawing/2010/slicer">
              <x3Unk:slicer name="player_rol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4848225</xdr:colOff>
      <xdr:row>9</xdr:row>
      <xdr:rowOff>85725</xdr:rowOff>
    </xdr:from>
    <xdr:ext cx="2857500" cy="2857500"/>
    <mc:AlternateContent>
      <mc:Choice Requires="sle15">
        <xdr:graphicFrame>
          <xdr:nvGraphicFramePr>
            <xdr:cNvPr id="3" name="player_name_3"/>
            <xdr:cNvGraphicFramePr/>
          </xdr:nvGraphicFramePr>
          <xdr:xfrm>
            <a:off x="0" y="0"/>
            <a:ext cx="0" cy="0"/>
          </xdr:xfrm>
          <a:graphic>
            <a:graphicData uri="http://schemas.microsoft.com/office/drawing/2010/slicer">
              <x3Unk:slicer name="player_nam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514350</xdr:colOff>
      <xdr:row>20</xdr:row>
      <xdr:rowOff>38100</xdr:rowOff>
    </xdr:from>
    <xdr:ext cx="7781925" cy="50768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304800</xdr:colOff>
      <xdr:row>22</xdr:row>
      <xdr:rowOff>66675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21</xdr:row>
      <xdr:rowOff>190500</xdr:rowOff>
    </xdr:from>
    <xdr:ext cx="4886325"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57150</xdr:colOff>
      <xdr:row>1</xdr:row>
      <xdr:rowOff>57150</xdr:rowOff>
    </xdr:from>
    <xdr:ext cx="2857500" cy="2857500"/>
    <mc:AlternateContent>
      <mc:Choice Requires="sle15">
        <xdr:graphicFrame>
          <xdr:nvGraphicFramePr>
            <xdr:cNvPr id="4" name="player_name_4"/>
            <xdr:cNvGraphicFramePr/>
          </xdr:nvGraphicFramePr>
          <xdr:xfrm>
            <a:off x="0" y="0"/>
            <a:ext cx="0" cy="0"/>
          </xdr:xfrm>
          <a:graphic>
            <a:graphicData uri="http://schemas.microsoft.com/office/drawing/2010/slicer">
              <x3Unk:slicer name="player_nam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962025</xdr:colOff>
      <xdr:row>5</xdr:row>
      <xdr:rowOff>142875</xdr:rowOff>
    </xdr:from>
    <xdr:ext cx="2857500" cy="2857500"/>
    <mc:AlternateContent>
      <mc:Choice Requires="sle15">
        <xdr:graphicFrame>
          <xdr:nvGraphicFramePr>
            <xdr:cNvPr id="5" name="player_role_5"/>
            <xdr:cNvGraphicFramePr/>
          </xdr:nvGraphicFramePr>
          <xdr:xfrm>
            <a:off x="0" y="0"/>
            <a:ext cx="0" cy="0"/>
          </xdr:xfrm>
          <a:graphic>
            <a:graphicData uri="http://schemas.microsoft.com/office/drawing/2010/slicer">
              <x3Unk:slicer name="player_rol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276225</xdr:colOff>
      <xdr:row>5</xdr:row>
      <xdr:rowOff>47625</xdr:rowOff>
    </xdr:from>
    <xdr:ext cx="7781925" cy="50768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800725"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238125</xdr:colOff>
      <xdr:row>1</xdr:row>
      <xdr:rowOff>57150</xdr:rowOff>
    </xdr:from>
    <xdr:ext cx="2857500" cy="2857500"/>
    <mc:AlternateContent>
      <mc:Choice Requires="sle15">
        <xdr:graphicFrame>
          <xdr:nvGraphicFramePr>
            <xdr:cNvPr id="6" name="player_role_6"/>
            <xdr:cNvGraphicFramePr/>
          </xdr:nvGraphicFramePr>
          <xdr:xfrm>
            <a:off x="0" y="0"/>
            <a:ext cx="0" cy="0"/>
          </xdr:xfrm>
          <a:graphic>
            <a:graphicData uri="http://schemas.microsoft.com/office/drawing/2010/slicer">
              <x3Unk:slicer name="player_role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238125</xdr:colOff>
      <xdr:row>5</xdr:row>
      <xdr:rowOff>114300</xdr:rowOff>
    </xdr:from>
    <xdr:ext cx="2857500" cy="2857500"/>
    <mc:AlternateContent>
      <mc:Choice Requires="sle15">
        <xdr:graphicFrame>
          <xdr:nvGraphicFramePr>
            <xdr:cNvPr id="7" name="player_name_7"/>
            <xdr:cNvGraphicFramePr/>
          </xdr:nvGraphicFramePr>
          <xdr:xfrm>
            <a:off x="0" y="0"/>
            <a:ext cx="0" cy="0"/>
          </xdr:xfrm>
          <a:graphic>
            <a:graphicData uri="http://schemas.microsoft.com/office/drawing/2010/slicer">
              <x3Unk:slicer name="player_name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47625</xdr:rowOff>
    </xdr:from>
    <xdr:ext cx="5800725"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4</xdr:row>
      <xdr:rowOff>47625</xdr:rowOff>
    </xdr:from>
    <xdr:ext cx="4924425"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22</xdr:row>
      <xdr:rowOff>142875</xdr:rowOff>
    </xdr:from>
    <xdr:ext cx="5800725"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933450</xdr:colOff>
      <xdr:row>22</xdr:row>
      <xdr:rowOff>142875</xdr:rowOff>
    </xdr:from>
    <xdr:ext cx="4886325"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9525</xdr:colOff>
      <xdr:row>6</xdr:row>
      <xdr:rowOff>38100</xdr:rowOff>
    </xdr:from>
    <xdr:ext cx="2857500" cy="2857500"/>
    <mc:AlternateContent>
      <mc:Choice Requires="sle15">
        <xdr:graphicFrame>
          <xdr:nvGraphicFramePr>
            <xdr:cNvPr id="8" name="player_role_8"/>
            <xdr:cNvGraphicFramePr/>
          </xdr:nvGraphicFramePr>
          <xdr:xfrm>
            <a:off x="0" y="0"/>
            <a:ext cx="0" cy="0"/>
          </xdr:xfrm>
          <a:graphic>
            <a:graphicData uri="http://schemas.microsoft.com/office/drawing/2010/slicer">
              <x3Unk:slicer name="player_role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9525</xdr:colOff>
      <xdr:row>9</xdr:row>
      <xdr:rowOff>114300</xdr:rowOff>
    </xdr:from>
    <xdr:ext cx="2857500" cy="2857500"/>
    <mc:AlternateContent>
      <mc:Choice Requires="sle15">
        <xdr:graphicFrame>
          <xdr:nvGraphicFramePr>
            <xdr:cNvPr id="9" name="player_name_9"/>
            <xdr:cNvGraphicFramePr/>
          </xdr:nvGraphicFramePr>
          <xdr:xfrm>
            <a:off x="0" y="0"/>
            <a:ext cx="0" cy="0"/>
          </xdr:xfrm>
          <a:graphic>
            <a:graphicData uri="http://schemas.microsoft.com/office/drawing/2010/slicer">
              <x3Unk:slicer name="player_name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57150</xdr:colOff>
      <xdr:row>25</xdr:row>
      <xdr:rowOff>95250</xdr:rowOff>
    </xdr:from>
    <xdr:ext cx="2857500" cy="2857500"/>
    <mc:AlternateContent>
      <mc:Choice Requires="sle15">
        <xdr:graphicFrame>
          <xdr:nvGraphicFramePr>
            <xdr:cNvPr id="10" name="player_role_10"/>
            <xdr:cNvGraphicFramePr/>
          </xdr:nvGraphicFramePr>
          <xdr:xfrm>
            <a:off x="0" y="0"/>
            <a:ext cx="0" cy="0"/>
          </xdr:xfrm>
          <a:graphic>
            <a:graphicData uri="http://schemas.microsoft.com/office/drawing/2010/slicer">
              <x3Unk:slicer name="player_role_10"/>
            </a:graphicData>
          </a:graphic>
        </xdr:graphicFrame>
      </mc:Choice>
      <mc:Fallback>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9525</xdr:colOff>
      <xdr:row>30</xdr:row>
      <xdr:rowOff>152400</xdr:rowOff>
    </xdr:from>
    <xdr:ext cx="2857500" cy="2857500"/>
    <mc:AlternateContent>
      <mc:Choice Requires="sle15">
        <xdr:graphicFrame>
          <xdr:nvGraphicFramePr>
            <xdr:cNvPr id="11" name="player_name_11"/>
            <xdr:cNvGraphicFramePr/>
          </xdr:nvGraphicFramePr>
          <xdr:xfrm>
            <a:off x="0" y="0"/>
            <a:ext cx="0" cy="0"/>
          </xdr:xfrm>
          <a:graphic>
            <a:graphicData uri="http://schemas.microsoft.com/office/drawing/2010/slicer">
              <x3Unk:slicer name="player_name_11"/>
            </a:graphicData>
          </a:graphic>
        </xdr:graphicFrame>
      </mc:Choice>
      <mc:Fallback>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5715000" cy="3533775"/>
    <xdr:pic>
      <xdr:nvPicPr>
        <xdr:cNvPr id="569034508" name="Chart1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885825</xdr:colOff>
      <xdr:row>3</xdr:row>
      <xdr:rowOff>47625</xdr:rowOff>
    </xdr:from>
    <xdr:ext cx="2857500" cy="2857500"/>
    <mc:AlternateContent>
      <mc:Choice Requires="sle15">
        <xdr:graphicFrame>
          <xdr:nvGraphicFramePr>
            <xdr:cNvPr id="12" name="player_role_12"/>
            <xdr:cNvGraphicFramePr/>
          </xdr:nvGraphicFramePr>
          <xdr:xfrm>
            <a:off x="0" y="0"/>
            <a:ext cx="0" cy="0"/>
          </xdr:xfrm>
          <a:graphic>
            <a:graphicData uri="http://schemas.microsoft.com/office/drawing/2010/slicer">
              <x3Unk:slicer name="player_role_12"/>
            </a:graphicData>
          </a:graphic>
        </xdr:graphicFrame>
      </mc:Choice>
      <mc:Fallback>
        <xdr:sp>
          <xdr:nvSpPr>
            <xdr:cNvPr id="1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885825</xdr:colOff>
      <xdr:row>7</xdr:row>
      <xdr:rowOff>38100</xdr:rowOff>
    </xdr:from>
    <xdr:ext cx="2857500" cy="2857500"/>
    <mc:AlternateContent>
      <mc:Choice Requires="sle15">
        <xdr:graphicFrame>
          <xdr:nvGraphicFramePr>
            <xdr:cNvPr id="13" name="season_13"/>
            <xdr:cNvGraphicFramePr/>
          </xdr:nvGraphicFramePr>
          <xdr:xfrm>
            <a:off x="0" y="0"/>
            <a:ext cx="0" cy="0"/>
          </xdr:xfrm>
          <a:graphic>
            <a:graphicData uri="http://schemas.microsoft.com/office/drawing/2010/slicer">
              <x3Unk:slicer name="season_13"/>
            </a:graphicData>
          </a:graphic>
        </xdr:graphicFrame>
      </mc:Choice>
      <mc:Fallback>
        <xdr:sp>
          <xdr:nvSpPr>
            <xdr:cNvPr id="1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1" sheet="2022_Stats"/>
  </cacheSource>
  <cacheFields>
    <cacheField name="player_name" numFmtId="0">
      <sharedItems>
        <s v="Deepak Nair"/>
        <s v="Priya Singh"/>
        <s v="Suresh Rao"/>
        <s v="Ankit Verma"/>
        <s v="Kiran Mehta"/>
        <s v="Chris Blake"/>
        <s v="Tom Sullivan"/>
        <s v="Luca Ferreira"/>
        <s v="Vikram Das"/>
        <s v="Praveen Joshi"/>
        <s v="Nathan Ford"/>
        <s v="Raj Sharma"/>
        <s v="Arjun Patel"/>
        <s v="Hamid Shaikh"/>
        <s v="James Tanner"/>
        <s v="Carlos Mendez"/>
        <s v="Rohan Gill"/>
        <s v="Brendon Chase"/>
        <s v="Marco de Bruyn"/>
        <s v="Sanjay Kumar"/>
      </sharedItems>
    </cacheField>
    <cacheField name="player_role" numFmtId="0">
      <sharedItems>
        <s v="Bowler"/>
        <s v="Batsman"/>
        <s v="All-Rounder"/>
      </sharedItems>
    </cacheField>
    <cacheField name="team" numFmtId="0">
      <sharedItems>
        <s v="Hyderabad Hawks"/>
        <s v="Kolkata Knights"/>
        <s v="Chennai Tigers"/>
        <s v="Mumbai Lions"/>
        <s v="Delhi Dynamos"/>
        <s v="Rajasthan Riders"/>
        <s v="Punjab Royals"/>
      </sharedItems>
    </cacheField>
    <cacheField name="season" numFmtId="0">
      <sharedItems containsSemiMixedTypes="0" containsString="0" containsNumber="1" containsInteger="1">
        <n v="2022.0"/>
      </sharedItems>
    </cacheField>
    <cacheField name="sold_price_cr" numFmtId="0">
      <sharedItems containsSemiMixedTypes="0" containsString="0" containsNumber="1">
        <n v="1.5"/>
        <n v="1.2"/>
        <n v="1.8"/>
        <n v="2.0"/>
        <n v="3.5"/>
        <n v="6.5"/>
        <n v="7.0"/>
        <n v="10.0"/>
        <n v="5.5"/>
        <n v="1.0"/>
        <n v="9.0"/>
        <n v="14.0"/>
        <n v="15.25"/>
        <n v="3.0"/>
        <n v="11.0"/>
        <n v="8.5"/>
        <n v="8.0"/>
        <n v="4.5"/>
        <n v="2.5"/>
      </sharedItems>
    </cacheField>
    <cacheField name="rating(percentile)" numFmtId="0">
      <sharedItems containsSemiMixedTypes="0" containsString="0" containsNumber="1">
        <n v="100.0"/>
        <n v="62.0"/>
        <n v="66.0"/>
        <n v="32.9"/>
        <n v="57.1"/>
        <n v="82.9"/>
        <n v="64.0"/>
        <n v="34.3"/>
        <n v="6.0"/>
        <n v="52.0"/>
        <n v="74.3"/>
        <n v="75.0"/>
        <n v="14.3"/>
        <n v="49.0"/>
        <n v="34.0"/>
        <n v="29.0"/>
        <n v="14.0"/>
        <n v="15.0"/>
        <n v="0.0"/>
      </sharedItems>
    </cacheField>
    <cacheField name="valueformoney(rating out of 100)" numFmtId="0">
      <sharedItems containsSemiMixedTypes="0" containsString="0" containsNumber="1">
        <n v="66.67"/>
        <n v="51.67"/>
        <n v="36.67"/>
        <n v="16.45"/>
        <n v="16.31"/>
        <n v="15.38"/>
        <n v="11.84"/>
        <n v="6.4"/>
        <n v="6.24"/>
        <n v="6.0"/>
        <n v="5.78"/>
        <n v="5.31"/>
        <n v="4.92"/>
        <n v="4.77"/>
        <n v="4.45"/>
        <n v="4.0"/>
        <n v="3.62"/>
        <n v="3.11"/>
        <n v="1.67"/>
        <n v="0.0"/>
      </sharedItems>
    </cacheField>
    <cacheField name="IPL_RANK" numFmtId="0">
      <sharedItems containsSemiMixedTypes="0" containsString="0" containsNumber="1" containsInteger="1">
        <n v="1.0"/>
        <n v="3.0"/>
        <n v="2.0"/>
        <n v="6.0"/>
        <n v="4.0"/>
        <n v="5.0"/>
        <n v="7.0"/>
        <n v="8.0"/>
      </sharedItems>
    </cacheField>
    <cacheField name="stars" numFmtId="0">
      <sharedItems>
        <s v="5 - Steal_Buy"/>
        <s v="4 - Good_Buy"/>
        <s v="3 - Fair_Buy"/>
        <s v="2 - Overpriced"/>
        <s v="1 - Poor Buy"/>
      </sharedItems>
    </cacheField>
    <cacheField name="runs">
      <sharedItems containsMixedTypes="1" containsNumber="1" containsInteger="1">
        <s v=""/>
        <n v="310.0"/>
        <n v="390.0"/>
        <n v="520.0"/>
        <n v="430.0"/>
        <n v="290.0"/>
        <n v="360.0"/>
        <n v="480.0"/>
        <n v="300.0"/>
        <n v="280.0"/>
        <n v="260.0"/>
        <n v="240.0"/>
        <n v="200.0"/>
      </sharedItems>
    </cacheField>
    <cacheField name="average">
      <sharedItems containsMixedTypes="1" containsNumber="1">
        <s v=""/>
        <n v="25.83"/>
        <n v="30.0"/>
        <n v="43.33"/>
        <n v="33.08"/>
        <n v="22.31"/>
        <n v="27.69"/>
        <n v="34.29"/>
        <n v="22.14"/>
        <n v="25.0"/>
        <n v="20.0"/>
        <n v="17.14"/>
        <n v="15.38"/>
        <n v="23.33"/>
      </sharedItems>
    </cacheField>
    <cacheField name="strike_rate">
      <sharedItems containsMixedTypes="1" containsNumber="1">
        <s v=""/>
        <n v="119.23"/>
        <n v="125.81"/>
        <n v="157.58"/>
        <n v="126.47"/>
        <n v="126.09"/>
        <n v="124.14"/>
        <n v="126.32"/>
        <n v="129.17"/>
        <n v="117.65"/>
        <n v="127.27"/>
        <n v="123.81"/>
        <n v="120.0"/>
        <n v="116.67"/>
      </sharedItems>
    </cacheField>
    <cacheField name="bdry_pct">
      <sharedItems containsMixedTypes="1" containsNumber="1">
        <s v=""/>
        <n v="51.61"/>
        <n v="55.38"/>
        <n v="76.92"/>
        <n v="59.53"/>
        <n v="57.24"/>
        <n v="50.0"/>
        <n v="57.5"/>
        <n v="63.23"/>
        <n v="55.71"/>
        <n v="56.92"/>
        <n v="55.83"/>
        <n v="57.0"/>
        <n v="48.57"/>
      </sharedItems>
    </cacheField>
    <cacheField name="wickets">
      <sharedItems containsMixedTypes="1" containsNumber="1" containsInteger="1">
        <n v="26.0"/>
        <n v="25.0"/>
        <n v="23.0"/>
        <s v=""/>
        <n v="13.0"/>
        <n v="17.0"/>
        <n v="20.0"/>
        <n v="14.0"/>
        <n v="12.0"/>
        <n v="11.0"/>
        <n v="21.0"/>
        <n v="10.0"/>
      </sharedItems>
    </cacheField>
    <cacheField name="economy">
      <sharedItems containsMixedTypes="1" containsNumber="1">
        <n v="5.09"/>
        <n v="5.69"/>
        <n v="5.63"/>
        <s v=""/>
        <n v="6.5"/>
        <n v="6.25"/>
        <n v="5.38"/>
        <n v="6.73"/>
        <n v="6.46"/>
        <n v="6.41"/>
        <n v="6.2"/>
        <n v="5.92"/>
        <n v="6.55"/>
      </sharedItems>
    </cacheField>
    <cacheField name="wkt_per_match">
      <sharedItems containsMixedTypes="1" containsNumber="1">
        <n v="1.86"/>
        <n v="1.79"/>
        <n v="1.64"/>
        <s v=""/>
        <n v="0.93"/>
        <n v="1.21"/>
        <n v="1.43"/>
        <n v="1.0"/>
        <n v="0.86"/>
        <n v="0.79"/>
        <n v="1.5"/>
        <n v="0.71"/>
      </sharedItems>
    </cacheField>
    <cacheField name="dot_ball_pct">
      <sharedItems containsMixedTypes="1" containsNumber="1">
        <n v="61.78"/>
        <n v="60.34"/>
        <n v="59.52"/>
        <s v=""/>
        <n v="42.67"/>
        <n v="49.68"/>
        <n v="56.09"/>
        <n v="43.27"/>
        <n v="43.4"/>
        <n v="42.75"/>
        <n v="40.58"/>
        <n v="48.61"/>
        <n v="42.8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1" sheet="2023_Stats"/>
  </cacheSource>
  <cacheFields>
    <cacheField name="player_name" numFmtId="0">
      <sharedItems>
        <s v="Deepak Nair"/>
        <s v="Priya Singh"/>
        <s v="Suresh Rao"/>
        <s v="Kiran Mehta"/>
        <s v="Chris Blake"/>
        <s v="Tom Sullivan"/>
        <s v="Ankit Verma"/>
        <s v="Vikram Das"/>
        <s v="Hamid Shaikh"/>
        <s v="Nathan Ford"/>
        <s v="Praveen Joshi"/>
        <s v="Luca Ferreira"/>
        <s v="James Tanner"/>
        <s v="Carlos Mendez"/>
        <s v="Arjun Patel"/>
        <s v="Raj Sharma"/>
        <s v="Rohan Gill"/>
        <s v="Brendon Chase"/>
        <s v="Marco de Bruyn"/>
        <s v="Sanjay Kumar"/>
      </sharedItems>
    </cacheField>
    <cacheField name="player_role" numFmtId="0">
      <sharedItems>
        <s v="Bowler"/>
        <s v="Batsman"/>
        <s v="All-Rounder"/>
      </sharedItems>
    </cacheField>
    <cacheField name="team" numFmtId="0">
      <sharedItems>
        <s v="Hyderabad Hawks"/>
        <s v="Kolkata Knights"/>
        <s v="Chennai Tigers"/>
        <s v="Mumbai Lions"/>
        <s v="Delhi Dynamos"/>
        <s v="Rajasthan Riders"/>
        <s v="Punjab Royals"/>
      </sharedItems>
    </cacheField>
    <cacheField name="season" numFmtId="0">
      <sharedItems containsSemiMixedTypes="0" containsString="0" containsNumber="1" containsInteger="1">
        <n v="2023.0"/>
      </sharedItems>
    </cacheField>
    <cacheField name="sold_price_cr" numFmtId="0">
      <sharedItems containsSemiMixedTypes="0" containsString="0" containsNumber="1">
        <n v="1.8"/>
        <n v="2.0"/>
        <n v="2.5"/>
        <n v="4.0"/>
        <n v="9.0"/>
        <n v="8.0"/>
        <n v="3.5"/>
        <n v="6.0"/>
        <n v="7.5"/>
        <n v="1.2"/>
        <n v="12.0"/>
        <n v="13.5"/>
        <n v="10.0"/>
        <n v="17.0"/>
        <n v="16.5"/>
        <n v="9.5"/>
        <n v="6.5"/>
        <n v="11.0"/>
      </sharedItems>
    </cacheField>
    <cacheField name="rating(percentile)" numFmtId="0">
      <sharedItems containsSemiMixedTypes="0" containsString="0" containsNumber="1">
        <n v="100.0"/>
        <n v="68.0"/>
        <n v="60.0"/>
        <n v="50.0"/>
        <n v="82.9"/>
        <n v="28.6"/>
        <n v="41.4"/>
        <n v="22.9"/>
        <n v="44.0"/>
        <n v="6.0"/>
        <n v="64.0"/>
        <n v="46.0"/>
        <n v="77.0"/>
        <n v="74.3"/>
        <n v="33.0"/>
        <n v="22.0"/>
        <n v="16.0"/>
        <n v="0.0"/>
      </sharedItems>
    </cacheField>
    <cacheField name="valueformoney(rating out of 100)" numFmtId="0">
      <sharedItems containsSemiMixedTypes="0" containsString="0" containsNumber="1">
        <n v="55.56"/>
        <n v="34.0"/>
        <n v="24.0"/>
        <n v="12.5"/>
        <n v="11.11"/>
        <n v="10.36"/>
        <n v="8.17"/>
        <n v="6.9"/>
        <n v="6.54"/>
        <n v="5.87"/>
        <n v="5.0"/>
        <n v="4.74"/>
        <n v="4.6"/>
        <n v="4.53"/>
        <n v="4.5"/>
        <n v="3.47"/>
        <n v="3.38"/>
        <n v="1.45"/>
        <n v="0.0"/>
      </sharedItems>
    </cacheField>
    <cacheField name="IPL_RANK" numFmtId="0">
      <sharedItems containsSemiMixedTypes="0" containsString="0" containsNumber="1" containsInteger="1">
        <n v="1.0"/>
        <n v="2.0"/>
        <n v="3.0"/>
        <n v="4.0"/>
        <n v="6.0"/>
        <n v="5.0"/>
        <n v="7.0"/>
        <n v="8.0"/>
      </sharedItems>
    </cacheField>
    <cacheField name="stars" numFmtId="0">
      <sharedItems>
        <s v="5 - Steal_Buy"/>
        <s v="4 - Good_Buy"/>
        <s v="3 - Fair_Buy"/>
        <s v="2 - Overpriced"/>
        <s v="1 - Poor Buy"/>
      </sharedItems>
    </cacheField>
    <cacheField name="runs">
      <sharedItems containsMixedTypes="1" containsNumber="1" containsInteger="1">
        <s v=""/>
        <n v="390.0"/>
        <n v="520.0"/>
        <n v="430.0"/>
        <n v="310.0"/>
        <n v="360.0"/>
        <n v="300.0"/>
        <n v="290.0"/>
        <n v="280.0"/>
        <n v="260.0"/>
        <n v="480.0"/>
        <n v="240.0"/>
        <n v="200.0"/>
      </sharedItems>
    </cacheField>
    <cacheField name="average">
      <sharedItems containsMixedTypes="1" containsNumber="1">
        <s v=""/>
        <n v="30.0"/>
        <n v="43.33"/>
        <n v="33.08"/>
        <n v="25.83"/>
        <n v="27.69"/>
        <n v="25.0"/>
        <n v="22.31"/>
        <n v="20.0"/>
        <n v="22.14"/>
        <n v="34.29"/>
        <n v="17.14"/>
        <n v="15.38"/>
        <n v="23.33"/>
      </sharedItems>
    </cacheField>
    <cacheField name="strike_rate">
      <sharedItems containsMixedTypes="1" containsNumber="1">
        <s v=""/>
        <n v="125.81"/>
        <n v="157.58"/>
        <n v="126.47"/>
        <n v="119.23"/>
        <n v="124.14"/>
        <n v="117.65"/>
        <n v="126.09"/>
        <n v="127.27"/>
        <n v="123.81"/>
        <n v="129.17"/>
        <n v="126.32"/>
        <n v="120.0"/>
        <n v="116.67"/>
      </sharedItems>
    </cacheField>
    <cacheField name="bdry_pct">
      <sharedItems containsMixedTypes="1" containsNumber="1">
        <s v=""/>
        <n v="55.38"/>
        <n v="76.92"/>
        <n v="59.53"/>
        <n v="51.61"/>
        <n v="50.0"/>
        <n v="57.24"/>
        <n v="55.71"/>
        <n v="56.92"/>
        <n v="63.23"/>
        <n v="57.5"/>
        <n v="55.83"/>
        <n v="57.0"/>
        <n v="48.57"/>
      </sharedItems>
    </cacheField>
    <cacheField name="wickets">
      <sharedItems containsMixedTypes="1" containsNumber="1" containsInteger="1">
        <n v="26.0"/>
        <n v="25.0"/>
        <n v="23.0"/>
        <s v=""/>
        <n v="20.0"/>
        <n v="17.0"/>
        <n v="13.0"/>
        <n v="12.0"/>
        <n v="11.0"/>
        <n v="14.0"/>
        <n v="21.0"/>
        <n v="10.0"/>
      </sharedItems>
    </cacheField>
    <cacheField name="economy">
      <sharedItems containsMixedTypes="1" containsNumber="1">
        <n v="5.09"/>
        <n v="5.69"/>
        <n v="5.63"/>
        <s v=""/>
        <n v="5.38"/>
        <n v="6.25"/>
        <n v="6.5"/>
        <n v="6.46"/>
        <n v="6.41"/>
        <n v="6.73"/>
        <n v="6.2"/>
        <n v="5.92"/>
        <n v="6.55"/>
      </sharedItems>
    </cacheField>
    <cacheField name="wkt_per_match">
      <sharedItems containsMixedTypes="1" containsNumber="1">
        <n v="1.86"/>
        <n v="1.79"/>
        <n v="1.64"/>
        <s v=""/>
        <n v="1.43"/>
        <n v="1.21"/>
        <n v="0.93"/>
        <n v="0.86"/>
        <n v="0.79"/>
        <n v="1.0"/>
        <n v="1.5"/>
        <n v="0.71"/>
      </sharedItems>
    </cacheField>
    <cacheField name="dot_ball_pct">
      <sharedItems containsMixedTypes="1" containsNumber="1">
        <n v="61.78"/>
        <n v="60.34"/>
        <n v="59.52"/>
        <s v=""/>
        <n v="56.09"/>
        <n v="49.68"/>
        <n v="42.67"/>
        <n v="43.4"/>
        <n v="42.75"/>
        <n v="43.27"/>
        <n v="40.58"/>
        <n v="48.61"/>
        <n v="42.86"/>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41" sheet="All_Stats"/>
  </cacheSource>
  <cacheFields>
    <cacheField name="player_name" numFmtId="0">
      <sharedItems>
        <s v="Deepak Nair"/>
        <s v="Priya Singh"/>
        <s v="Suresh Rao"/>
        <s v="Ankit Verma"/>
        <s v="Kiran Mehta"/>
        <s v="Chris Blake"/>
        <s v="Tom Sullivan"/>
        <s v="Luca Ferreira"/>
        <s v="Vikram Das"/>
        <s v="Praveen Joshi"/>
        <s v="Nathan Ford"/>
        <s v="Raj Sharma"/>
        <s v="Arjun Patel"/>
        <s v="Hamid Shaikh"/>
        <s v="James Tanner"/>
        <s v="Carlos Mendez"/>
        <s v="Rohan Gill"/>
        <s v="Brendon Chase"/>
        <s v="Marco de Bruyn"/>
        <s v="Sanjay Kumar"/>
      </sharedItems>
    </cacheField>
    <cacheField name="player_role" numFmtId="0">
      <sharedItems>
        <s v="Bowler"/>
        <s v="Batsman"/>
        <s v="All-Rounder"/>
      </sharedItems>
    </cacheField>
    <cacheField name="team" numFmtId="0">
      <sharedItems>
        <s v="Hyderabad Hawks"/>
        <s v="Kolkata Knights"/>
        <s v="Chennai Tigers"/>
        <s v="Mumbai Lions"/>
        <s v="Delhi Dynamos"/>
        <s v="Rajasthan Riders"/>
        <s v="Punjab Royals"/>
      </sharedItems>
    </cacheField>
    <cacheField name="season" numFmtId="0">
      <sharedItems containsSemiMixedTypes="0" containsString="0" containsNumber="1" containsInteger="1">
        <n v="2022.0"/>
        <n v="2023.0"/>
      </sharedItems>
    </cacheField>
    <cacheField name="sold_price_cr" numFmtId="0">
      <sharedItems containsSemiMixedTypes="0" containsString="0" containsNumber="1">
        <n v="1.5"/>
        <n v="1.2"/>
        <n v="1.8"/>
        <n v="2.0"/>
        <n v="3.5"/>
        <n v="6.5"/>
        <n v="7.0"/>
        <n v="10.0"/>
        <n v="5.5"/>
        <n v="1.0"/>
        <n v="9.0"/>
        <n v="14.0"/>
        <n v="15.25"/>
        <n v="3.0"/>
        <n v="11.0"/>
        <n v="8.5"/>
        <n v="8.0"/>
        <n v="4.5"/>
        <n v="2.5"/>
        <n v="4.0"/>
        <n v="6.0"/>
        <n v="7.5"/>
        <n v="12.0"/>
        <n v="13.5"/>
        <n v="17.0"/>
        <n v="16.5"/>
        <n v="9.5"/>
      </sharedItems>
    </cacheField>
    <cacheField name="rating(percentile)" numFmtId="0">
      <sharedItems containsSemiMixedTypes="0" containsString="0" containsNumber="1">
        <n v="100.0"/>
        <n v="62.0"/>
        <n v="66.0"/>
        <n v="32.9"/>
        <n v="57.1"/>
        <n v="82.9"/>
        <n v="64.0"/>
        <n v="34.3"/>
        <n v="6.0"/>
        <n v="52.0"/>
        <n v="74.3"/>
        <n v="75.0"/>
        <n v="14.3"/>
        <n v="49.0"/>
        <n v="34.0"/>
        <n v="29.0"/>
        <n v="14.0"/>
        <n v="15.0"/>
        <n v="0.0"/>
        <n v="68.0"/>
        <n v="60.0"/>
        <n v="50.0"/>
        <n v="28.6"/>
        <n v="41.4"/>
        <n v="22.9"/>
        <n v="44.0"/>
        <n v="46.0"/>
        <n v="77.0"/>
        <n v="33.0"/>
        <n v="22.0"/>
        <n v="16.0"/>
      </sharedItems>
    </cacheField>
    <cacheField name="valueformoney(rating out of 100)" numFmtId="0">
      <sharedItems containsSemiMixedTypes="0" containsString="0" containsNumber="1">
        <n v="66.67"/>
        <n v="51.67"/>
        <n v="36.67"/>
        <n v="16.45"/>
        <n v="16.31"/>
        <n v="15.38"/>
        <n v="11.84"/>
        <n v="6.4"/>
        <n v="6.24"/>
        <n v="6.0"/>
        <n v="5.78"/>
        <n v="5.31"/>
        <n v="4.92"/>
        <n v="4.77"/>
        <n v="4.45"/>
        <n v="4.0"/>
        <n v="3.62"/>
        <n v="3.11"/>
        <n v="1.67"/>
        <n v="0.0"/>
        <n v="55.56"/>
        <n v="34.0"/>
        <n v="24.0"/>
        <n v="12.5"/>
        <n v="11.11"/>
        <n v="10.36"/>
        <n v="8.17"/>
        <n v="6.9"/>
        <n v="6.54"/>
        <n v="5.87"/>
        <n v="5.0"/>
        <n v="4.74"/>
        <n v="4.6"/>
        <n v="4.53"/>
        <n v="4.5"/>
        <n v="3.47"/>
        <n v="3.38"/>
        <n v="1.45"/>
      </sharedItems>
    </cacheField>
    <cacheField name="IPL_RANK" numFmtId="0">
      <sharedItems containsSemiMixedTypes="0" containsString="0" containsNumber="1" containsInteger="1">
        <n v="1.0"/>
        <n v="3.0"/>
        <n v="2.0"/>
        <n v="6.0"/>
        <n v="4.0"/>
        <n v="5.0"/>
        <n v="7.0"/>
        <n v="8.0"/>
      </sharedItems>
    </cacheField>
    <cacheField name="stars" numFmtId="0">
      <sharedItems>
        <s v="5 - Steal_Buy"/>
        <s v="4 - Good_Buy"/>
        <s v="3 - Fair_Buy"/>
        <s v="2 - Overpriced"/>
        <s v="1 - Poor Buy"/>
      </sharedItems>
    </cacheField>
    <cacheField name="runs">
      <sharedItems containsMixedTypes="1" containsNumber="1" containsInteger="1">
        <s v=""/>
        <n v="310.0"/>
        <n v="390.0"/>
        <n v="520.0"/>
        <n v="430.0"/>
        <n v="290.0"/>
        <n v="360.0"/>
        <n v="480.0"/>
        <n v="300.0"/>
        <n v="280.0"/>
        <n v="260.0"/>
        <n v="240.0"/>
        <n v="200.0"/>
      </sharedItems>
    </cacheField>
    <cacheField name="average">
      <sharedItems containsMixedTypes="1" containsNumber="1">
        <s v=""/>
        <n v="25.83"/>
        <n v="30.0"/>
        <n v="43.33"/>
        <n v="33.08"/>
        <n v="22.31"/>
        <n v="27.69"/>
        <n v="34.29"/>
        <n v="22.14"/>
        <n v="25.0"/>
        <n v="20.0"/>
        <n v="17.14"/>
        <n v="15.38"/>
        <n v="23.33"/>
      </sharedItems>
    </cacheField>
    <cacheField name="strike_rate">
      <sharedItems containsMixedTypes="1" containsNumber="1">
        <s v=""/>
        <n v="119.23"/>
        <n v="125.81"/>
        <n v="157.58"/>
        <n v="126.47"/>
        <n v="126.09"/>
        <n v="124.14"/>
        <n v="126.32"/>
        <n v="129.17"/>
        <n v="117.65"/>
        <n v="127.27"/>
        <n v="123.81"/>
        <n v="120.0"/>
        <n v="116.67"/>
      </sharedItems>
    </cacheField>
    <cacheField name="bdry_pct">
      <sharedItems containsMixedTypes="1" containsNumber="1">
        <s v=""/>
        <n v="51.61"/>
        <n v="55.38"/>
        <n v="76.92"/>
        <n v="59.53"/>
        <n v="57.24"/>
        <n v="50.0"/>
        <n v="57.5"/>
        <n v="63.23"/>
        <n v="55.71"/>
        <n v="56.92"/>
        <n v="55.83"/>
        <n v="57.0"/>
        <n v="48.57"/>
      </sharedItems>
    </cacheField>
    <cacheField name="wickets">
      <sharedItems containsMixedTypes="1" containsNumber="1" containsInteger="1">
        <n v="26.0"/>
        <n v="25.0"/>
        <n v="23.0"/>
        <s v=""/>
        <n v="13.0"/>
        <n v="17.0"/>
        <n v="20.0"/>
        <n v="14.0"/>
        <n v="12.0"/>
        <n v="11.0"/>
        <n v="21.0"/>
        <n v="10.0"/>
      </sharedItems>
    </cacheField>
    <cacheField name="economy">
      <sharedItems containsMixedTypes="1" containsNumber="1">
        <n v="5.09"/>
        <n v="5.69"/>
        <n v="5.63"/>
        <s v=""/>
        <n v="6.5"/>
        <n v="6.25"/>
        <n v="5.38"/>
        <n v="6.73"/>
        <n v="6.46"/>
        <n v="6.41"/>
        <n v="6.2"/>
        <n v="5.92"/>
        <n v="6.55"/>
      </sharedItems>
    </cacheField>
    <cacheField name="wkt_per_match">
      <sharedItems containsMixedTypes="1" containsNumber="1">
        <n v="1.86"/>
        <n v="1.79"/>
        <n v="1.64"/>
        <s v=""/>
        <n v="0.93"/>
        <n v="1.21"/>
        <n v="1.43"/>
        <n v="1.0"/>
        <n v="0.86"/>
        <n v="0.79"/>
        <n v="1.5"/>
        <n v="0.71"/>
      </sharedItems>
    </cacheField>
    <cacheField name="dot_ball_pct">
      <sharedItems containsMixedTypes="1" containsNumber="1">
        <n v="61.78"/>
        <n v="60.34"/>
        <n v="59.52"/>
        <s v=""/>
        <n v="42.67"/>
        <n v="49.68"/>
        <n v="56.09"/>
        <n v="43.27"/>
        <n v="43.4"/>
        <n v="42.75"/>
        <n v="40.58"/>
        <n v="48.61"/>
        <n v="42.8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2022_Pivot" cacheId="0" dataCaption="" rowGrandTotals="0" compact="0" compactData="0">
  <location ref="A1:F21" firstHeaderRow="0" firstDataRow="3" firstDataCol="0"/>
  <pivotFields>
    <pivotField name="player_name" axis="axisRow" compact="0" outline="0" multipleItemSelectionAllowed="1" showAll="0" sortType="ascending">
      <items>
        <item x="0"/>
        <item x="1"/>
        <item x="2"/>
        <item x="3"/>
        <item x="4"/>
        <item x="5"/>
        <item x="6"/>
        <item x="7"/>
        <item x="8"/>
        <item x="9"/>
        <item x="10"/>
        <item x="11"/>
        <item x="12"/>
        <item x="13"/>
        <item x="14"/>
        <item x="15"/>
        <item x="16"/>
        <item x="17"/>
        <item x="18"/>
        <item x="19"/>
        <item t="default"/>
      </items>
      <autoSortScope>
        <pivotArea>
          <references>
            <reference field="4294967294">
              <x v="3"/>
            </reference>
          </references>
        </pivotArea>
      </autoSortScope>
    </pivotField>
    <pivotField name="player_role" axis="axisRow" compact="0" outline="0" multipleItemSelectionAllowed="1" showAll="0" sortType="ascending" defaultSubtotal="0">
      <items>
        <item x="2"/>
        <item x="1"/>
        <item x="0"/>
      </items>
    </pivotField>
    <pivotField name="team" compact="0" outline="0" multipleItemSelectionAllowed="1" showAll="0">
      <items>
        <item x="0"/>
        <item x="1"/>
        <item x="2"/>
        <item x="3"/>
        <item x="4"/>
        <item x="5"/>
        <item x="6"/>
        <item t="default"/>
      </items>
    </pivotField>
    <pivotField name="season" compact="0" outline="0" multipleItemSelectionAllowed="1" showAll="0">
      <items>
        <item x="0"/>
        <item t="default"/>
      </items>
    </pivotField>
    <pivotField name="sold_price_cr"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rating(percentile)"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valueformoney(rating out of 100)"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PL_RANK" dataField="1" compact="0" outline="0" multipleItemSelectionAllowed="1" showAll="0">
      <items>
        <item x="0"/>
        <item x="1"/>
        <item x="2"/>
        <item x="3"/>
        <item x="4"/>
        <item x="5"/>
        <item x="6"/>
        <item x="7"/>
        <item t="default"/>
      </items>
    </pivotField>
    <pivotField name="stars" compact="0" outline="0" multipleItemSelectionAllowed="1" showAll="0">
      <items>
        <item x="0"/>
        <item x="1"/>
        <item x="2"/>
        <item x="3"/>
        <item x="4"/>
        <item t="default"/>
      </items>
    </pivotField>
    <pivotField name="runs" compact="0" outline="0" multipleItemSelectionAllowed="1" showAll="0">
      <items>
        <item x="0"/>
        <item x="1"/>
        <item x="2"/>
        <item x="3"/>
        <item x="4"/>
        <item x="5"/>
        <item x="6"/>
        <item x="7"/>
        <item x="8"/>
        <item x="9"/>
        <item x="10"/>
        <item x="11"/>
        <item x="12"/>
        <item t="default"/>
      </items>
    </pivotField>
    <pivotField name="average" compact="0" outline="0" multipleItemSelectionAllowed="1" showAll="0">
      <items>
        <item x="0"/>
        <item x="1"/>
        <item x="2"/>
        <item x="3"/>
        <item x="4"/>
        <item x="5"/>
        <item x="6"/>
        <item x="7"/>
        <item x="8"/>
        <item x="9"/>
        <item x="10"/>
        <item x="11"/>
        <item x="12"/>
        <item x="13"/>
        <item t="default"/>
      </items>
    </pivotField>
    <pivotField name="strike_rate" compact="0" outline="0" multipleItemSelectionAllowed="1" showAll="0">
      <items>
        <item x="0"/>
        <item x="1"/>
        <item x="2"/>
        <item x="3"/>
        <item x="4"/>
        <item x="5"/>
        <item x="6"/>
        <item x="7"/>
        <item x="8"/>
        <item x="9"/>
        <item x="10"/>
        <item x="11"/>
        <item x="12"/>
        <item x="13"/>
        <item t="default"/>
      </items>
    </pivotField>
    <pivotField name="bdry_pct" compact="0" outline="0" multipleItemSelectionAllowed="1" showAll="0">
      <items>
        <item x="0"/>
        <item x="1"/>
        <item x="2"/>
        <item x="3"/>
        <item x="4"/>
        <item x="5"/>
        <item x="6"/>
        <item x="7"/>
        <item x="8"/>
        <item x="9"/>
        <item x="10"/>
        <item x="11"/>
        <item x="12"/>
        <item x="13"/>
        <item t="default"/>
      </items>
    </pivotField>
    <pivotField name="wickets" compact="0" outline="0" multipleItemSelectionAllowed="1" showAll="0">
      <items>
        <item x="0"/>
        <item x="1"/>
        <item x="2"/>
        <item x="3"/>
        <item x="4"/>
        <item x="5"/>
        <item x="6"/>
        <item x="7"/>
        <item x="8"/>
        <item x="9"/>
        <item x="10"/>
        <item x="11"/>
        <item t="default"/>
      </items>
    </pivotField>
    <pivotField name="economy" compact="0" outline="0" multipleItemSelectionAllowed="1" showAll="0">
      <items>
        <item x="0"/>
        <item x="1"/>
        <item x="2"/>
        <item x="3"/>
        <item x="4"/>
        <item x="5"/>
        <item x="6"/>
        <item x="7"/>
        <item x="8"/>
        <item x="9"/>
        <item x="10"/>
        <item x="11"/>
        <item x="12"/>
        <item t="default"/>
      </items>
    </pivotField>
    <pivotField name="wkt_per_match" compact="0" outline="0" multipleItemSelectionAllowed="1" showAll="0">
      <items>
        <item x="0"/>
        <item x="1"/>
        <item x="2"/>
        <item x="3"/>
        <item x="4"/>
        <item x="5"/>
        <item x="6"/>
        <item x="7"/>
        <item x="8"/>
        <item x="9"/>
        <item x="10"/>
        <item x="11"/>
        <item t="default"/>
      </items>
    </pivotField>
    <pivotField name="dot_ball_pct" compact="0" outline="0" multipleItemSelectionAllowed="1" showAll="0">
      <items>
        <item x="0"/>
        <item x="1"/>
        <item x="2"/>
        <item x="3"/>
        <item x="4"/>
        <item x="5"/>
        <item x="6"/>
        <item x="7"/>
        <item x="8"/>
        <item x="9"/>
        <item x="10"/>
        <item x="11"/>
        <item x="12"/>
        <item t="default"/>
      </items>
    </pivotField>
  </pivotFields>
  <rowFields>
    <field x="1"/>
    <field x="0"/>
  </rowFields>
  <colFields>
    <field x="-2"/>
  </colFields>
  <dataFields>
    <dataField name="AVERAGE of valueformoney(rating out of 100)" fld="6" subtotal="average" baseField="0"/>
    <dataField name="AVERAGE of rating(percentile)" fld="5" subtotal="average" baseField="0"/>
    <dataField name="AVERAGE of sold_price_cr" fld="4" subtotal="average" baseField="0"/>
    <dataField name="MIN of IPL_RANK" fld="7" subtotal="min" baseField="0"/>
  </dataFields>
</pivotTableDefinition>
</file>

<file path=xl/pivotTables/pivotTable2.xml><?xml version="1.0" encoding="utf-8"?>
<pivotTableDefinition xmlns="http://schemas.openxmlformats.org/spreadsheetml/2006/main" name="2023_pivot" cacheId="1" dataCaption="" rowGrandTotals="0" compact="0" compactData="0">
  <location ref="A1:F21" firstHeaderRow="0" firstDataRow="3" firstDataCol="0"/>
  <pivotFields>
    <pivotField name="player_name" axis="axisRow" compact="0" outline="0" multipleItemSelectionAllowed="1" showAll="0" sortType="ascending">
      <items>
        <item x="0"/>
        <item x="1"/>
        <item x="2"/>
        <item x="3"/>
        <item x="4"/>
        <item x="5"/>
        <item x="6"/>
        <item x="7"/>
        <item x="8"/>
        <item x="9"/>
        <item x="10"/>
        <item x="11"/>
        <item x="12"/>
        <item x="13"/>
        <item x="14"/>
        <item x="15"/>
        <item x="16"/>
        <item x="17"/>
        <item x="18"/>
        <item x="19"/>
        <item t="default"/>
      </items>
      <autoSortScope>
        <pivotArea>
          <references>
            <reference field="4294967294">
              <x v="3"/>
            </reference>
          </references>
        </pivotArea>
      </autoSortScope>
    </pivotField>
    <pivotField name="player_role" axis="axisRow" compact="0" outline="0" multipleItemSelectionAllowed="1" showAll="0" sortType="ascending" defaultSubtotal="0">
      <items>
        <item x="2"/>
        <item x="1"/>
        <item x="0"/>
      </items>
    </pivotField>
    <pivotField name="team" compact="0" outline="0" multipleItemSelectionAllowed="1" showAll="0">
      <items>
        <item x="0"/>
        <item x="1"/>
        <item x="2"/>
        <item x="3"/>
        <item x="4"/>
        <item x="5"/>
        <item x="6"/>
        <item t="default"/>
      </items>
    </pivotField>
    <pivotField name="season" compact="0" outline="0" multipleItemSelectionAllowed="1" showAll="0">
      <items>
        <item x="0"/>
        <item t="default"/>
      </items>
    </pivotField>
    <pivotField name="sold_price_cr" dataField="1" compact="0" outline="0" multipleItemSelectionAllowed="1" showAll="0">
      <items>
        <item x="0"/>
        <item x="1"/>
        <item x="2"/>
        <item x="3"/>
        <item x="4"/>
        <item x="5"/>
        <item x="6"/>
        <item x="7"/>
        <item x="8"/>
        <item x="9"/>
        <item x="10"/>
        <item x="11"/>
        <item x="12"/>
        <item x="13"/>
        <item x="14"/>
        <item x="15"/>
        <item x="16"/>
        <item x="17"/>
        <item t="default"/>
      </items>
    </pivotField>
    <pivotField name="rating(percentile)" dataField="1" compact="0" outline="0" multipleItemSelectionAllowed="1" showAll="0">
      <items>
        <item x="0"/>
        <item x="1"/>
        <item x="2"/>
        <item x="3"/>
        <item x="4"/>
        <item x="5"/>
        <item x="6"/>
        <item x="7"/>
        <item x="8"/>
        <item x="9"/>
        <item x="10"/>
        <item x="11"/>
        <item x="12"/>
        <item x="13"/>
        <item x="14"/>
        <item x="15"/>
        <item x="16"/>
        <item x="17"/>
        <item t="default"/>
      </items>
    </pivotField>
    <pivotField name="valueformoney(rating out of 100)"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IPL_RANK" dataField="1" compact="0" outline="0" multipleItemSelectionAllowed="1" showAll="0">
      <items>
        <item x="0"/>
        <item x="1"/>
        <item x="2"/>
        <item x="3"/>
        <item x="4"/>
        <item x="5"/>
        <item x="6"/>
        <item x="7"/>
        <item t="default"/>
      </items>
    </pivotField>
    <pivotField name="stars" compact="0" outline="0" multipleItemSelectionAllowed="1" showAll="0">
      <items>
        <item x="0"/>
        <item x="1"/>
        <item x="2"/>
        <item x="3"/>
        <item x="4"/>
        <item t="default"/>
      </items>
    </pivotField>
    <pivotField name="runs" compact="0" outline="0" multipleItemSelectionAllowed="1" showAll="0">
      <items>
        <item x="0"/>
        <item x="1"/>
        <item x="2"/>
        <item x="3"/>
        <item x="4"/>
        <item x="5"/>
        <item x="6"/>
        <item x="7"/>
        <item x="8"/>
        <item x="9"/>
        <item x="10"/>
        <item x="11"/>
        <item x="12"/>
        <item t="default"/>
      </items>
    </pivotField>
    <pivotField name="average" compact="0" outline="0" multipleItemSelectionAllowed="1" showAll="0">
      <items>
        <item x="0"/>
        <item x="1"/>
        <item x="2"/>
        <item x="3"/>
        <item x="4"/>
        <item x="5"/>
        <item x="6"/>
        <item x="7"/>
        <item x="8"/>
        <item x="9"/>
        <item x="10"/>
        <item x="11"/>
        <item x="12"/>
        <item x="13"/>
        <item t="default"/>
      </items>
    </pivotField>
    <pivotField name="strike_rate" compact="0" outline="0" multipleItemSelectionAllowed="1" showAll="0">
      <items>
        <item x="0"/>
        <item x="1"/>
        <item x="2"/>
        <item x="3"/>
        <item x="4"/>
        <item x="5"/>
        <item x="6"/>
        <item x="7"/>
        <item x="8"/>
        <item x="9"/>
        <item x="10"/>
        <item x="11"/>
        <item x="12"/>
        <item x="13"/>
        <item t="default"/>
      </items>
    </pivotField>
    <pivotField name="bdry_pct" compact="0" outline="0" multipleItemSelectionAllowed="1" showAll="0">
      <items>
        <item x="0"/>
        <item x="1"/>
        <item x="2"/>
        <item x="3"/>
        <item x="4"/>
        <item x="5"/>
        <item x="6"/>
        <item x="7"/>
        <item x="8"/>
        <item x="9"/>
        <item x="10"/>
        <item x="11"/>
        <item x="12"/>
        <item x="13"/>
        <item t="default"/>
      </items>
    </pivotField>
    <pivotField name="wickets" compact="0" outline="0" multipleItemSelectionAllowed="1" showAll="0">
      <items>
        <item x="0"/>
        <item x="1"/>
        <item x="2"/>
        <item x="3"/>
        <item x="4"/>
        <item x="5"/>
        <item x="6"/>
        <item x="7"/>
        <item x="8"/>
        <item x="9"/>
        <item x="10"/>
        <item x="11"/>
        <item t="default"/>
      </items>
    </pivotField>
    <pivotField name="economy" compact="0" outline="0" multipleItemSelectionAllowed="1" showAll="0">
      <items>
        <item x="0"/>
        <item x="1"/>
        <item x="2"/>
        <item x="3"/>
        <item x="4"/>
        <item x="5"/>
        <item x="6"/>
        <item x="7"/>
        <item x="8"/>
        <item x="9"/>
        <item x="10"/>
        <item x="11"/>
        <item x="12"/>
        <item t="default"/>
      </items>
    </pivotField>
    <pivotField name="wkt_per_match" compact="0" outline="0" multipleItemSelectionAllowed="1" showAll="0">
      <items>
        <item x="0"/>
        <item x="1"/>
        <item x="2"/>
        <item x="3"/>
        <item x="4"/>
        <item x="5"/>
        <item x="6"/>
        <item x="7"/>
        <item x="8"/>
        <item x="9"/>
        <item x="10"/>
        <item x="11"/>
        <item t="default"/>
      </items>
    </pivotField>
    <pivotField name="dot_ball_pct" compact="0" outline="0" multipleItemSelectionAllowed="1" showAll="0">
      <items>
        <item x="0"/>
        <item x="1"/>
        <item x="2"/>
        <item x="3"/>
        <item x="4"/>
        <item x="5"/>
        <item x="6"/>
        <item x="7"/>
        <item x="8"/>
        <item x="9"/>
        <item x="10"/>
        <item x="11"/>
        <item x="12"/>
        <item t="default"/>
      </items>
    </pivotField>
  </pivotFields>
  <rowFields>
    <field x="1"/>
    <field x="0"/>
  </rowFields>
  <colFields>
    <field x="-2"/>
  </colFields>
  <dataFields>
    <dataField name="AVERAGE of valueformoney(rating out of 100)" fld="6" subtotal="average" baseField="0"/>
    <dataField name="AVERAGE of rating(percentile)" fld="5" subtotal="average" baseField="0"/>
    <dataField name="AVERAGE of sold_price_cr" fld="4" subtotal="average" baseField="0"/>
    <dataField name="MIN of IPL_RANK" fld="7" subtotal="min" baseField="0"/>
  </dataFields>
</pivotTableDefinition>
</file>

<file path=xl/pivotTables/pivotTable3.xml><?xml version="1.0" encoding="utf-8"?>
<pivotTableDefinition xmlns="http://schemas.openxmlformats.org/spreadsheetml/2006/main" name="Pivot Table 5" cacheId="2" dataCaption="" rowGrandTotals="0" colGrandTotals="0" compact="0" compactData="0">
  <location ref="A1:D22" firstHeaderRow="0" firstDataRow="2" firstDataCol="1"/>
  <pivotFields>
    <pivotField name="player_name" axis="axisRow" compact="0" outline="0" multipleItemSelectionAllowed="1" showAll="0" sortType="ascending">
      <items>
        <item x="0"/>
        <item x="1"/>
        <item x="2"/>
        <item x="3"/>
        <item x="4"/>
        <item x="5"/>
        <item x="6"/>
        <item x="7"/>
        <item x="8"/>
        <item x="9"/>
        <item x="10"/>
        <item x="11"/>
        <item x="12"/>
        <item x="13"/>
        <item x="14"/>
        <item x="15"/>
        <item x="16"/>
        <item x="17"/>
        <item x="18"/>
        <item x="19"/>
        <item t="default"/>
      </items>
      <autoSortScope>
        <pivotArea>
          <references>
            <reference field="4294967294">
              <x v="0"/>
            </reference>
          </references>
        </pivotArea>
      </autoSortScope>
    </pivotField>
    <pivotField name="player_role" axis="axisRow" compact="0" outline="0" multipleItemSelectionAllowed="1" showAll="0" sortType="ascending" defaultSubtotal="0">
      <items>
        <item x="2"/>
        <item x="1"/>
        <item x="0"/>
      </items>
    </pivotField>
    <pivotField name="team" compact="0" outline="0" multipleItemSelectionAllowed="1" showAll="0">
      <items>
        <item x="0"/>
        <item x="1"/>
        <item x="2"/>
        <item x="3"/>
        <item x="4"/>
        <item x="5"/>
        <item x="6"/>
        <item t="default"/>
      </items>
    </pivotField>
    <pivotField name="season" axis="axisCol" compact="0" outline="0" multipleItemSelectionAllowed="1" showAll="0" sortType="ascending">
      <items>
        <item x="0"/>
        <item x="1"/>
        <item t="default"/>
      </items>
    </pivotField>
    <pivotField name="sold_price_c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rating(percenti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alueformoney(rating out of 10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IPL_RANK" dataField="1" compact="0" outline="0" multipleItemSelectionAllowed="1" showAll="0">
      <items>
        <item x="0"/>
        <item x="1"/>
        <item x="2"/>
        <item x="3"/>
        <item x="4"/>
        <item x="5"/>
        <item x="6"/>
        <item x="7"/>
        <item t="default"/>
      </items>
    </pivotField>
    <pivotField name="stars" compact="0" outline="0" multipleItemSelectionAllowed="1" showAll="0">
      <items>
        <item x="0"/>
        <item x="1"/>
        <item x="2"/>
        <item x="3"/>
        <item x="4"/>
        <item t="default"/>
      </items>
    </pivotField>
    <pivotField name="runs" compact="0" outline="0" multipleItemSelectionAllowed="1" showAll="0">
      <items>
        <item x="0"/>
        <item x="1"/>
        <item x="2"/>
        <item x="3"/>
        <item x="4"/>
        <item x="5"/>
        <item x="6"/>
        <item x="7"/>
        <item x="8"/>
        <item x="9"/>
        <item x="10"/>
        <item x="11"/>
        <item x="12"/>
        <item t="default"/>
      </items>
    </pivotField>
    <pivotField name="average" compact="0" outline="0" multipleItemSelectionAllowed="1" showAll="0">
      <items>
        <item x="0"/>
        <item x="1"/>
        <item x="2"/>
        <item x="3"/>
        <item x="4"/>
        <item x="5"/>
        <item x="6"/>
        <item x="7"/>
        <item x="8"/>
        <item x="9"/>
        <item x="10"/>
        <item x="11"/>
        <item x="12"/>
        <item x="13"/>
        <item t="default"/>
      </items>
    </pivotField>
    <pivotField name="strike_rate" compact="0" outline="0" multipleItemSelectionAllowed="1" showAll="0">
      <items>
        <item x="0"/>
        <item x="1"/>
        <item x="2"/>
        <item x="3"/>
        <item x="4"/>
        <item x="5"/>
        <item x="6"/>
        <item x="7"/>
        <item x="8"/>
        <item x="9"/>
        <item x="10"/>
        <item x="11"/>
        <item x="12"/>
        <item x="13"/>
        <item t="default"/>
      </items>
    </pivotField>
    <pivotField name="bdry_pct" compact="0" outline="0" multipleItemSelectionAllowed="1" showAll="0">
      <items>
        <item x="0"/>
        <item x="1"/>
        <item x="2"/>
        <item x="3"/>
        <item x="4"/>
        <item x="5"/>
        <item x="6"/>
        <item x="7"/>
        <item x="8"/>
        <item x="9"/>
        <item x="10"/>
        <item x="11"/>
        <item x="12"/>
        <item x="13"/>
        <item t="default"/>
      </items>
    </pivotField>
    <pivotField name="wickets" compact="0" outline="0" multipleItemSelectionAllowed="1" showAll="0">
      <items>
        <item x="0"/>
        <item x="1"/>
        <item x="2"/>
        <item x="3"/>
        <item x="4"/>
        <item x="5"/>
        <item x="6"/>
        <item x="7"/>
        <item x="8"/>
        <item x="9"/>
        <item x="10"/>
        <item x="11"/>
        <item t="default"/>
      </items>
    </pivotField>
    <pivotField name="economy" compact="0" outline="0" multipleItemSelectionAllowed="1" showAll="0">
      <items>
        <item x="0"/>
        <item x="1"/>
        <item x="2"/>
        <item x="3"/>
        <item x="4"/>
        <item x="5"/>
        <item x="6"/>
        <item x="7"/>
        <item x="8"/>
        <item x="9"/>
        <item x="10"/>
        <item x="11"/>
        <item x="12"/>
        <item t="default"/>
      </items>
    </pivotField>
    <pivotField name="wkt_per_match" compact="0" outline="0" multipleItemSelectionAllowed="1" showAll="0">
      <items>
        <item x="0"/>
        <item x="1"/>
        <item x="2"/>
        <item x="3"/>
        <item x="4"/>
        <item x="5"/>
        <item x="6"/>
        <item x="7"/>
        <item x="8"/>
        <item x="9"/>
        <item x="10"/>
        <item x="11"/>
        <item t="default"/>
      </items>
    </pivotField>
    <pivotField name="dot_ball_pct" compact="0" outline="0" multipleItemSelectionAllowed="1" showAll="0">
      <items>
        <item x="0"/>
        <item x="1"/>
        <item x="2"/>
        <item x="3"/>
        <item x="4"/>
        <item x="5"/>
        <item x="6"/>
        <item x="7"/>
        <item x="8"/>
        <item x="9"/>
        <item x="10"/>
        <item x="11"/>
        <item x="12"/>
        <item t="default"/>
      </items>
    </pivotField>
  </pivotFields>
  <rowFields>
    <field x="1"/>
    <field x="0"/>
  </rowFields>
  <colFields>
    <field x="3"/>
  </colFields>
  <dataFields>
    <dataField name="SUM of IPL_RANK" fld="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layer_nam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layer_role">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player_name">
  <x14:extLst>
    <ext uri="{2F2917AC-EB37-4324-AD4E-5DD8C200BD13}">
      <x15:tableSlicerCache tableId="2"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player_role">
  <x14:extLst>
    <ext uri="{2F2917AC-EB37-4324-AD4E-5DD8C200BD13}">
      <x15:tableSlicerCache tableId="2" column="2"/>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player_name">
  <x14:extLst>
    <ext uri="{2F2917AC-EB37-4324-AD4E-5DD8C200BD13}">
      <x15:tableSlicerCache tableId="3" column="1"/>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2" sourceName="player_role">
  <x14:extLst>
    <ext uri="{2F2917AC-EB37-4324-AD4E-5DD8C200BD13}">
      <x15:tableSlicerCache tableId="3" column="2"/>
    </ext>
  </x14:extLst>
</x14:slicerCacheDefinition>
</file>

<file path=xl/slicerCaches/slicerCache7.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4" sourceName="season">
  <x14:extLst>
    <ext uri="{2F2917AC-EB37-4324-AD4E-5DD8C200BD13}">
      <x15:tableSlicerCache tableId="3"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eason_1" cache="SlicerCache_Table_3_Col_4" caption="season" rowHeight="247650"/>
  <x14:slicer name="player_role_2" cache="SlicerCache_Table_3_Col_2" caption="player_role" rowHeight="247650"/>
  <x14:slicer name="player_name_3" cache="SlicerCache_Table_3_Col_1" caption="player_nam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yer_name_4" cache="SlicerCache_Table_1_Col_1" caption="player_name" rowHeight="247650"/>
  <x14:slicer name="player_role_5" cache="SlicerCache_Table_1_Col_2" caption="player_rol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yer_role_6" cache="SlicerCache_Table_2_Col_2" caption="player_role" rowHeight="247650"/>
  <x14:slicer name="player_name_7" cache="SlicerCache_Table_2_Col_1" caption="player_name"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yer_role_8" cache="SlicerCache_Table_2_Col_2" caption="player_role" rowHeight="247650"/>
  <x14:slicer name="player_name_9" cache="SlicerCache_Table_2_Col_1" caption="player_name" rowHeight="247650"/>
  <x14:slicer name="player_role_10" cache="SlicerCache_Table_1_Col_2" caption="player_role" rowHeight="247650"/>
  <x14:slicer name="player_name_11" cache="SlicerCache_Table_1_Col_1" caption="player_name" rowHeight="247650"/>
</x14:slicers>
</file>

<file path=xl/slicers/slicer5.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yer_role_12" cache="SlicerCache_Table_3_Col_2" caption="player_role" rowHeight="247650"/>
  <x14:slicer name="season_13" cache="SlicerCache_Table_3_Col_4" caption="season" rowHeight="247650"/>
</x14:slicers>
</file>

<file path=xl/tables/table1.xml><?xml version="1.0" encoding="utf-8"?>
<table xmlns="http://schemas.openxmlformats.org/spreadsheetml/2006/main" ref="A1:Q21" displayName="Table_1" name="Table_1" id="1">
  <autoFilter ref="$A$1:$Q$21"/>
  <tableColumns count="17">
    <tableColumn name="player_name" id="1"/>
    <tableColumn name="player_role" id="2"/>
    <tableColumn name="team" id="3"/>
    <tableColumn name="season" id="4"/>
    <tableColumn name="sold_price_cr" id="5"/>
    <tableColumn name="rating(percentile)" id="6"/>
    <tableColumn name="valueformoney(rating out of 100)" id="7"/>
    <tableColumn name="IPL_RANK" id="8"/>
    <tableColumn name="stars" id="9"/>
    <tableColumn name="runs" id="10"/>
    <tableColumn name="average" id="11"/>
    <tableColumn name="strike_rate" id="12"/>
    <tableColumn name="bdry_pct" id="13"/>
    <tableColumn name="wickets" id="14"/>
    <tableColumn name="economy" id="15"/>
    <tableColumn name="wkt_per_match" id="16"/>
    <tableColumn name="dot_ball_pct" id="17"/>
  </tableColumns>
  <tableStyleInfo showColumnStripes="0" showFirstColumn="0" showLastColumn="0" showRowStripes="0"/>
</table>
</file>

<file path=xl/tables/table2.xml><?xml version="1.0" encoding="utf-8"?>
<table xmlns="http://schemas.openxmlformats.org/spreadsheetml/2006/main" ref="A1:Q21" displayName="Table_2" name="Table_2" id="2">
  <autoFilter ref="$A$1:$Q$21"/>
  <tableColumns count="17">
    <tableColumn name="player_name" id="1"/>
    <tableColumn name="player_role" id="2"/>
    <tableColumn name="team" id="3"/>
    <tableColumn name="season" id="4"/>
    <tableColumn name="sold_price_cr" id="5"/>
    <tableColumn name="rating(percentile)" id="6"/>
    <tableColumn name="valueformoney(rating out of 100)" id="7"/>
    <tableColumn name="IPL_RANK" id="8"/>
    <tableColumn name="stars" id="9"/>
    <tableColumn name="runs" id="10"/>
    <tableColumn name="average" id="11"/>
    <tableColumn name="strike_rate" id="12"/>
    <tableColumn name="bdry_pct" id="13"/>
    <tableColumn name="wickets" id="14"/>
    <tableColumn name="economy" id="15"/>
    <tableColumn name="wkt_per_match" id="16"/>
    <tableColumn name="dot_ball_pct" id="17"/>
  </tableColumns>
  <tableStyleInfo showColumnStripes="0" showFirstColumn="0" showLastColumn="0" showRowStripes="0"/>
</table>
</file>

<file path=xl/tables/table3.xml><?xml version="1.0" encoding="utf-8"?>
<table xmlns="http://schemas.openxmlformats.org/spreadsheetml/2006/main" ref="A1:Q41" displayName="Table_3" name="Table_3" id="3">
  <autoFilter ref="$A$1:$Q$41"/>
  <tableColumns count="17">
    <tableColumn name="player_name" id="1"/>
    <tableColumn name="player_role" id="2"/>
    <tableColumn name="team" id="3"/>
    <tableColumn name="season" id="4"/>
    <tableColumn name="sold_price_cr" id="5"/>
    <tableColumn name="rating(percentile)" id="6"/>
    <tableColumn name="valueformoney(rating out of 100)" id="7"/>
    <tableColumn name="IPL_RANK" id="8"/>
    <tableColumn name="stars" id="9"/>
    <tableColumn name="runs" id="10"/>
    <tableColumn name="average" id="11"/>
    <tableColumn name="strike_rate" id="12"/>
    <tableColumn name="bdry_pct" id="13"/>
    <tableColumn name="wickets" id="14"/>
    <tableColumn name="economy" id="15"/>
    <tableColumn name="wkt_per_match" id="16"/>
    <tableColumn name="dot_ball_pct" id="1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 Id="rId3"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 Id="rId3" Type="http://schemas.microsoft.com/office/2007/relationships/slicer" Target="../slicers/slicer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microsoft.com/office/2007/relationships/slicer" Target="../slicers/slicer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 Id="rId3" Type="http://schemas.microsoft.com/office/2007/relationships/slicer" Target="../slicers/slicer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6.88"/>
  </cols>
  <sheetData>
    <row r="1" ht="67.5" customHeight="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ht="42.0" customHeight="1">
      <c r="A23" s="3" t="s">
        <v>1</v>
      </c>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3</v>
      </c>
      <c r="C1" s="4" t="s">
        <v>4</v>
      </c>
      <c r="D1" s="4" t="s">
        <v>5</v>
      </c>
      <c r="E1" s="4" t="s">
        <v>6</v>
      </c>
      <c r="F1" s="4" t="s">
        <v>7</v>
      </c>
      <c r="G1" s="4" t="s">
        <v>8</v>
      </c>
      <c r="H1" s="4" t="s">
        <v>9</v>
      </c>
      <c r="I1" s="4" t="s">
        <v>10</v>
      </c>
    </row>
    <row r="2" hidden="1">
      <c r="A2" s="4" t="s">
        <v>11</v>
      </c>
      <c r="B2" s="4" t="s">
        <v>12</v>
      </c>
      <c r="C2" s="4" t="s">
        <v>13</v>
      </c>
      <c r="D2" s="4">
        <v>2022.0</v>
      </c>
      <c r="E2" s="4">
        <v>1.5</v>
      </c>
      <c r="F2" s="4">
        <v>100.0</v>
      </c>
      <c r="G2" s="4">
        <v>1.0</v>
      </c>
      <c r="H2" s="4">
        <v>66.67</v>
      </c>
      <c r="I2" s="4" t="s">
        <v>14</v>
      </c>
    </row>
    <row r="3" hidden="1">
      <c r="A3" s="4" t="s">
        <v>15</v>
      </c>
      <c r="B3" s="4" t="s">
        <v>12</v>
      </c>
      <c r="C3" s="4" t="s">
        <v>16</v>
      </c>
      <c r="D3" s="4">
        <v>2022.0</v>
      </c>
      <c r="E3" s="4">
        <v>1.2</v>
      </c>
      <c r="F3" s="4">
        <v>62.0</v>
      </c>
      <c r="G3" s="4">
        <v>3.0</v>
      </c>
      <c r="H3" s="4">
        <v>51.67</v>
      </c>
      <c r="I3" s="4" t="s">
        <v>14</v>
      </c>
    </row>
    <row r="4" hidden="1">
      <c r="A4" s="4" t="s">
        <v>17</v>
      </c>
      <c r="B4" s="4" t="s">
        <v>12</v>
      </c>
      <c r="C4" s="4" t="s">
        <v>18</v>
      </c>
      <c r="D4" s="4">
        <v>2022.0</v>
      </c>
      <c r="E4" s="4">
        <v>1.8</v>
      </c>
      <c r="F4" s="4">
        <v>66.0</v>
      </c>
      <c r="G4" s="4">
        <v>2.0</v>
      </c>
      <c r="H4" s="4">
        <v>36.67</v>
      </c>
      <c r="I4" s="4" t="s">
        <v>14</v>
      </c>
    </row>
    <row r="5" hidden="1">
      <c r="A5" s="4" t="s">
        <v>19</v>
      </c>
      <c r="B5" s="4" t="s">
        <v>20</v>
      </c>
      <c r="C5" s="4" t="s">
        <v>16</v>
      </c>
      <c r="D5" s="4">
        <v>2022.0</v>
      </c>
      <c r="E5" s="4">
        <v>2.0</v>
      </c>
      <c r="F5" s="4">
        <v>32.9</v>
      </c>
      <c r="G5" s="4">
        <v>6.0</v>
      </c>
      <c r="H5" s="4">
        <v>16.45</v>
      </c>
      <c r="I5" s="4" t="s">
        <v>14</v>
      </c>
    </row>
    <row r="6" hidden="1">
      <c r="A6" s="4" t="s">
        <v>21</v>
      </c>
      <c r="B6" s="4" t="s">
        <v>20</v>
      </c>
      <c r="C6" s="4" t="s">
        <v>22</v>
      </c>
      <c r="D6" s="4">
        <v>2022.0</v>
      </c>
      <c r="E6" s="4">
        <v>3.5</v>
      </c>
      <c r="F6" s="4">
        <v>57.1</v>
      </c>
      <c r="G6" s="4">
        <v>4.0</v>
      </c>
      <c r="H6" s="4">
        <v>16.31</v>
      </c>
      <c r="I6" s="4" t="s">
        <v>14</v>
      </c>
    </row>
    <row r="7" hidden="1">
      <c r="A7" s="4" t="s">
        <v>23</v>
      </c>
      <c r="B7" s="4" t="s">
        <v>20</v>
      </c>
      <c r="C7" s="4" t="s">
        <v>24</v>
      </c>
      <c r="D7" s="4">
        <v>2022.0</v>
      </c>
      <c r="E7" s="4">
        <v>6.5</v>
      </c>
      <c r="F7" s="4">
        <v>100.0</v>
      </c>
      <c r="G7" s="4">
        <v>1.0</v>
      </c>
      <c r="H7" s="4">
        <v>15.38</v>
      </c>
      <c r="I7" s="4" t="s">
        <v>14</v>
      </c>
    </row>
    <row r="8" hidden="1">
      <c r="A8" s="4" t="s">
        <v>25</v>
      </c>
      <c r="B8" s="4" t="s">
        <v>20</v>
      </c>
      <c r="C8" s="4" t="s">
        <v>26</v>
      </c>
      <c r="D8" s="4">
        <v>2022.0</v>
      </c>
      <c r="E8" s="4">
        <v>7.0</v>
      </c>
      <c r="F8" s="4">
        <v>82.9</v>
      </c>
      <c r="G8" s="4">
        <v>2.0</v>
      </c>
      <c r="H8" s="4">
        <v>11.84</v>
      </c>
      <c r="I8" s="4" t="s">
        <v>14</v>
      </c>
    </row>
    <row r="9" hidden="1">
      <c r="A9" s="4" t="s">
        <v>27</v>
      </c>
      <c r="B9" s="4" t="s">
        <v>28</v>
      </c>
      <c r="C9" s="4" t="s">
        <v>24</v>
      </c>
      <c r="D9" s="4">
        <v>2022.0</v>
      </c>
      <c r="E9" s="4">
        <v>10.0</v>
      </c>
      <c r="F9" s="4">
        <v>64.0</v>
      </c>
      <c r="G9" s="4">
        <v>2.0</v>
      </c>
      <c r="H9" s="4">
        <v>6.4</v>
      </c>
      <c r="I9" s="4" t="s">
        <v>29</v>
      </c>
    </row>
    <row r="10" hidden="1">
      <c r="A10" s="4" t="s">
        <v>30</v>
      </c>
      <c r="B10" s="4" t="s">
        <v>20</v>
      </c>
      <c r="C10" s="4" t="s">
        <v>13</v>
      </c>
      <c r="D10" s="4">
        <v>2022.0</v>
      </c>
      <c r="E10" s="4">
        <v>5.5</v>
      </c>
      <c r="F10" s="4">
        <v>34.3</v>
      </c>
      <c r="G10" s="4">
        <v>5.0</v>
      </c>
      <c r="H10" s="4">
        <v>6.24</v>
      </c>
      <c r="I10" s="4" t="s">
        <v>29</v>
      </c>
    </row>
    <row r="11" hidden="1">
      <c r="A11" s="4" t="s">
        <v>31</v>
      </c>
      <c r="B11" s="4" t="s">
        <v>12</v>
      </c>
      <c r="C11" s="4" t="s">
        <v>22</v>
      </c>
      <c r="D11" s="4">
        <v>2022.0</v>
      </c>
      <c r="E11" s="4">
        <v>1.0</v>
      </c>
      <c r="F11" s="4">
        <v>6.0</v>
      </c>
      <c r="G11" s="4">
        <v>6.0</v>
      </c>
      <c r="H11" s="4">
        <v>6.0</v>
      </c>
      <c r="I11" s="4" t="s">
        <v>29</v>
      </c>
    </row>
    <row r="12" hidden="1">
      <c r="A12" s="4" t="s">
        <v>32</v>
      </c>
      <c r="B12" s="4" t="s">
        <v>12</v>
      </c>
      <c r="C12" s="4" t="s">
        <v>33</v>
      </c>
      <c r="D12" s="4">
        <v>2022.0</v>
      </c>
      <c r="E12" s="4">
        <v>9.0</v>
      </c>
      <c r="F12" s="4">
        <v>52.0</v>
      </c>
      <c r="G12" s="4">
        <v>4.0</v>
      </c>
      <c r="H12" s="4">
        <v>5.78</v>
      </c>
      <c r="I12" s="4" t="s">
        <v>34</v>
      </c>
    </row>
    <row r="13" hidden="1">
      <c r="A13" s="4" t="s">
        <v>35</v>
      </c>
      <c r="B13" s="4" t="s">
        <v>20</v>
      </c>
      <c r="C13" s="4" t="s">
        <v>22</v>
      </c>
      <c r="D13" s="4">
        <v>2022.0</v>
      </c>
      <c r="E13" s="4">
        <v>14.0</v>
      </c>
      <c r="F13" s="4">
        <v>74.3</v>
      </c>
      <c r="G13" s="4">
        <v>3.0</v>
      </c>
      <c r="H13" s="4">
        <v>5.31</v>
      </c>
      <c r="I13" s="4" t="s">
        <v>34</v>
      </c>
    </row>
    <row r="14" hidden="1">
      <c r="A14" s="4" t="s">
        <v>36</v>
      </c>
      <c r="B14" s="4" t="s">
        <v>28</v>
      </c>
      <c r="C14" s="4" t="s">
        <v>18</v>
      </c>
      <c r="D14" s="4">
        <v>2022.0</v>
      </c>
      <c r="E14" s="4">
        <v>15.25</v>
      </c>
      <c r="F14" s="4">
        <v>75.0</v>
      </c>
      <c r="G14" s="4">
        <v>1.0</v>
      </c>
      <c r="H14" s="4">
        <v>4.92</v>
      </c>
      <c r="I14" s="4" t="s">
        <v>34</v>
      </c>
    </row>
    <row r="15" hidden="1">
      <c r="A15" s="4" t="s">
        <v>37</v>
      </c>
      <c r="B15" s="4" t="s">
        <v>20</v>
      </c>
      <c r="C15" s="4" t="s">
        <v>24</v>
      </c>
      <c r="D15" s="4">
        <v>2022.0</v>
      </c>
      <c r="E15" s="4">
        <v>3.0</v>
      </c>
      <c r="F15" s="4">
        <v>14.3</v>
      </c>
      <c r="G15" s="4">
        <v>7.0</v>
      </c>
      <c r="H15" s="4">
        <v>4.77</v>
      </c>
      <c r="I15" s="4" t="s">
        <v>34</v>
      </c>
    </row>
    <row r="16" hidden="1">
      <c r="A16" s="4" t="s">
        <v>38</v>
      </c>
      <c r="B16" s="4" t="s">
        <v>28</v>
      </c>
      <c r="C16" s="4" t="s">
        <v>26</v>
      </c>
      <c r="D16" s="4">
        <v>2022.0</v>
      </c>
      <c r="E16" s="4">
        <v>11.0</v>
      </c>
      <c r="F16" s="4">
        <v>49.0</v>
      </c>
      <c r="G16" s="4">
        <v>3.0</v>
      </c>
      <c r="H16" s="4">
        <v>4.45</v>
      </c>
      <c r="I16" s="4" t="s">
        <v>34</v>
      </c>
    </row>
    <row r="17" hidden="1">
      <c r="A17" s="4" t="s">
        <v>39</v>
      </c>
      <c r="B17" s="4" t="s">
        <v>28</v>
      </c>
      <c r="C17" s="4" t="s">
        <v>33</v>
      </c>
      <c r="D17" s="4">
        <v>2022.0</v>
      </c>
      <c r="E17" s="4">
        <v>8.5</v>
      </c>
      <c r="F17" s="4">
        <v>34.0</v>
      </c>
      <c r="G17" s="4">
        <v>4.0</v>
      </c>
      <c r="H17" s="4">
        <v>4.0</v>
      </c>
      <c r="I17" s="4" t="s">
        <v>34</v>
      </c>
    </row>
    <row r="18" hidden="1">
      <c r="A18" s="4" t="s">
        <v>40</v>
      </c>
      <c r="B18" s="4" t="s">
        <v>28</v>
      </c>
      <c r="C18" s="4" t="s">
        <v>22</v>
      </c>
      <c r="D18" s="4">
        <v>2022.0</v>
      </c>
      <c r="E18" s="4">
        <v>8.0</v>
      </c>
      <c r="F18" s="4">
        <v>29.0</v>
      </c>
      <c r="G18" s="4">
        <v>5.0</v>
      </c>
      <c r="H18" s="4">
        <v>3.62</v>
      </c>
      <c r="I18" s="4" t="s">
        <v>41</v>
      </c>
    </row>
    <row r="19" hidden="1">
      <c r="A19" s="4" t="s">
        <v>42</v>
      </c>
      <c r="B19" s="4" t="s">
        <v>12</v>
      </c>
      <c r="C19" s="4" t="s">
        <v>33</v>
      </c>
      <c r="D19" s="4">
        <v>2022.0</v>
      </c>
      <c r="E19" s="4">
        <v>4.5</v>
      </c>
      <c r="F19" s="4">
        <v>14.0</v>
      </c>
      <c r="G19" s="4">
        <v>5.0</v>
      </c>
      <c r="H19" s="4">
        <v>3.11</v>
      </c>
      <c r="I19" s="4" t="s">
        <v>41</v>
      </c>
    </row>
    <row r="20" hidden="1">
      <c r="A20" s="4" t="s">
        <v>43</v>
      </c>
      <c r="B20" s="4" t="s">
        <v>28</v>
      </c>
      <c r="C20" s="4" t="s">
        <v>16</v>
      </c>
      <c r="D20" s="4">
        <v>2022.0</v>
      </c>
      <c r="E20" s="4">
        <v>9.0</v>
      </c>
      <c r="F20" s="4">
        <v>15.0</v>
      </c>
      <c r="G20" s="4">
        <v>6.0</v>
      </c>
      <c r="H20" s="4">
        <v>1.67</v>
      </c>
      <c r="I20" s="4" t="s">
        <v>44</v>
      </c>
    </row>
    <row r="21" hidden="1">
      <c r="A21" s="4" t="s">
        <v>45</v>
      </c>
      <c r="B21" s="4" t="s">
        <v>20</v>
      </c>
      <c r="C21" s="4" t="s">
        <v>18</v>
      </c>
      <c r="D21" s="4">
        <v>2022.0</v>
      </c>
      <c r="E21" s="4">
        <v>2.5</v>
      </c>
      <c r="F21" s="4">
        <v>0.0</v>
      </c>
      <c r="G21" s="4">
        <v>8.0</v>
      </c>
      <c r="H21" s="4">
        <v>0.0</v>
      </c>
      <c r="I21" s="4" t="s">
        <v>44</v>
      </c>
    </row>
    <row r="22">
      <c r="A22" s="4" t="s">
        <v>11</v>
      </c>
      <c r="B22" s="4" t="s">
        <v>12</v>
      </c>
      <c r="C22" s="4" t="s">
        <v>13</v>
      </c>
      <c r="D22" s="4">
        <v>2023.0</v>
      </c>
      <c r="E22" s="4">
        <v>1.8</v>
      </c>
      <c r="F22" s="4">
        <v>100.0</v>
      </c>
      <c r="G22" s="4">
        <v>1.0</v>
      </c>
      <c r="H22" s="4">
        <v>55.56</v>
      </c>
      <c r="I22" s="4" t="s">
        <v>14</v>
      </c>
    </row>
    <row r="23">
      <c r="A23" s="4" t="s">
        <v>15</v>
      </c>
      <c r="B23" s="4" t="s">
        <v>12</v>
      </c>
      <c r="C23" s="4" t="s">
        <v>16</v>
      </c>
      <c r="D23" s="4">
        <v>2023.0</v>
      </c>
      <c r="E23" s="4">
        <v>2.0</v>
      </c>
      <c r="F23" s="4">
        <v>68.0</v>
      </c>
      <c r="G23" s="4">
        <v>2.0</v>
      </c>
      <c r="H23" s="4">
        <v>34.0</v>
      </c>
      <c r="I23" s="4" t="s">
        <v>14</v>
      </c>
    </row>
    <row r="24">
      <c r="A24" s="4" t="s">
        <v>17</v>
      </c>
      <c r="B24" s="4" t="s">
        <v>12</v>
      </c>
      <c r="C24" s="4" t="s">
        <v>18</v>
      </c>
      <c r="D24" s="4">
        <v>2023.0</v>
      </c>
      <c r="E24" s="4">
        <v>2.5</v>
      </c>
      <c r="F24" s="4">
        <v>60.0</v>
      </c>
      <c r="G24" s="4">
        <v>3.0</v>
      </c>
      <c r="H24" s="4">
        <v>24.0</v>
      </c>
      <c r="I24" s="4" t="s">
        <v>14</v>
      </c>
    </row>
    <row r="25">
      <c r="A25" s="4" t="s">
        <v>21</v>
      </c>
      <c r="B25" s="4" t="s">
        <v>20</v>
      </c>
      <c r="C25" s="4" t="s">
        <v>22</v>
      </c>
      <c r="D25" s="4">
        <v>2023.0</v>
      </c>
      <c r="E25" s="4">
        <v>4.0</v>
      </c>
      <c r="F25" s="4">
        <v>50.0</v>
      </c>
      <c r="G25" s="4">
        <v>4.0</v>
      </c>
      <c r="H25" s="4">
        <v>12.5</v>
      </c>
      <c r="I25" s="4" t="s">
        <v>14</v>
      </c>
    </row>
    <row r="26">
      <c r="A26" s="4" t="s">
        <v>23</v>
      </c>
      <c r="B26" s="4" t="s">
        <v>20</v>
      </c>
      <c r="C26" s="4" t="s">
        <v>24</v>
      </c>
      <c r="D26" s="4">
        <v>2023.0</v>
      </c>
      <c r="E26" s="4">
        <v>9.0</v>
      </c>
      <c r="F26" s="4">
        <v>100.0</v>
      </c>
      <c r="G26" s="4">
        <v>1.0</v>
      </c>
      <c r="H26" s="4">
        <v>11.11</v>
      </c>
      <c r="I26" s="4" t="s">
        <v>14</v>
      </c>
    </row>
    <row r="27">
      <c r="A27" s="4" t="s">
        <v>25</v>
      </c>
      <c r="B27" s="4" t="s">
        <v>20</v>
      </c>
      <c r="C27" s="4" t="s">
        <v>26</v>
      </c>
      <c r="D27" s="4">
        <v>2023.0</v>
      </c>
      <c r="E27" s="4">
        <v>8.0</v>
      </c>
      <c r="F27" s="4">
        <v>82.9</v>
      </c>
      <c r="G27" s="4">
        <v>2.0</v>
      </c>
      <c r="H27" s="4">
        <v>10.36</v>
      </c>
      <c r="I27" s="4" t="s">
        <v>14</v>
      </c>
    </row>
    <row r="28">
      <c r="A28" s="4" t="s">
        <v>19</v>
      </c>
      <c r="B28" s="4" t="s">
        <v>20</v>
      </c>
      <c r="C28" s="4" t="s">
        <v>16</v>
      </c>
      <c r="D28" s="4">
        <v>2023.0</v>
      </c>
      <c r="E28" s="4">
        <v>3.5</v>
      </c>
      <c r="F28" s="4">
        <v>28.6</v>
      </c>
      <c r="G28" s="4">
        <v>6.0</v>
      </c>
      <c r="H28" s="4">
        <v>8.17</v>
      </c>
      <c r="I28" s="4" t="s">
        <v>14</v>
      </c>
    </row>
    <row r="29">
      <c r="A29" s="4" t="s">
        <v>30</v>
      </c>
      <c r="B29" s="4" t="s">
        <v>20</v>
      </c>
      <c r="C29" s="4" t="s">
        <v>13</v>
      </c>
      <c r="D29" s="4">
        <v>2023.0</v>
      </c>
      <c r="E29" s="4">
        <v>6.0</v>
      </c>
      <c r="F29" s="4">
        <v>41.4</v>
      </c>
      <c r="G29" s="4">
        <v>5.0</v>
      </c>
      <c r="H29" s="4">
        <v>6.9</v>
      </c>
      <c r="I29" s="4" t="s">
        <v>29</v>
      </c>
    </row>
    <row r="30">
      <c r="A30" s="4" t="s">
        <v>37</v>
      </c>
      <c r="B30" s="4" t="s">
        <v>20</v>
      </c>
      <c r="C30" s="4" t="s">
        <v>24</v>
      </c>
      <c r="D30" s="4">
        <v>2023.0</v>
      </c>
      <c r="E30" s="4">
        <v>3.5</v>
      </c>
      <c r="F30" s="4">
        <v>22.9</v>
      </c>
      <c r="G30" s="4">
        <v>7.0</v>
      </c>
      <c r="H30" s="4">
        <v>6.54</v>
      </c>
      <c r="I30" s="4" t="s">
        <v>29</v>
      </c>
    </row>
    <row r="31">
      <c r="A31" s="4" t="s">
        <v>32</v>
      </c>
      <c r="B31" s="4" t="s">
        <v>12</v>
      </c>
      <c r="C31" s="4" t="s">
        <v>33</v>
      </c>
      <c r="D31" s="4">
        <v>2023.0</v>
      </c>
      <c r="E31" s="4">
        <v>7.5</v>
      </c>
      <c r="F31" s="4">
        <v>44.0</v>
      </c>
      <c r="G31" s="4">
        <v>4.0</v>
      </c>
      <c r="H31" s="4">
        <v>5.87</v>
      </c>
      <c r="I31" s="4" t="s">
        <v>34</v>
      </c>
    </row>
    <row r="32">
      <c r="A32" s="4" t="s">
        <v>31</v>
      </c>
      <c r="B32" s="4" t="s">
        <v>12</v>
      </c>
      <c r="C32" s="4" t="s">
        <v>22</v>
      </c>
      <c r="D32" s="4">
        <v>2023.0</v>
      </c>
      <c r="E32" s="4">
        <v>1.2</v>
      </c>
      <c r="F32" s="4">
        <v>6.0</v>
      </c>
      <c r="G32" s="4">
        <v>6.0</v>
      </c>
      <c r="H32" s="4">
        <v>5.0</v>
      </c>
      <c r="I32" s="4" t="s">
        <v>34</v>
      </c>
    </row>
    <row r="33">
      <c r="A33" s="4" t="s">
        <v>27</v>
      </c>
      <c r="B33" s="4" t="s">
        <v>28</v>
      </c>
      <c r="C33" s="4" t="s">
        <v>24</v>
      </c>
      <c r="D33" s="4">
        <v>2023.0</v>
      </c>
      <c r="E33" s="4">
        <v>12.0</v>
      </c>
      <c r="F33" s="4">
        <v>60.0</v>
      </c>
      <c r="G33" s="4">
        <v>3.0</v>
      </c>
      <c r="H33" s="4">
        <v>5.0</v>
      </c>
      <c r="I33" s="4" t="s">
        <v>34</v>
      </c>
    </row>
    <row r="34">
      <c r="A34" s="4" t="s">
        <v>38</v>
      </c>
      <c r="B34" s="4" t="s">
        <v>28</v>
      </c>
      <c r="C34" s="4" t="s">
        <v>26</v>
      </c>
      <c r="D34" s="4">
        <v>2023.0</v>
      </c>
      <c r="E34" s="4">
        <v>13.5</v>
      </c>
      <c r="F34" s="4">
        <v>64.0</v>
      </c>
      <c r="G34" s="4">
        <v>2.0</v>
      </c>
      <c r="H34" s="4">
        <v>4.74</v>
      </c>
      <c r="I34" s="4" t="s">
        <v>34</v>
      </c>
    </row>
    <row r="35">
      <c r="A35" s="4" t="s">
        <v>39</v>
      </c>
      <c r="B35" s="4" t="s">
        <v>28</v>
      </c>
      <c r="C35" s="4" t="s">
        <v>33</v>
      </c>
      <c r="D35" s="4">
        <v>2023.0</v>
      </c>
      <c r="E35" s="4">
        <v>10.0</v>
      </c>
      <c r="F35" s="4">
        <v>46.0</v>
      </c>
      <c r="G35" s="4">
        <v>4.0</v>
      </c>
      <c r="H35" s="4">
        <v>4.6</v>
      </c>
      <c r="I35" s="4" t="s">
        <v>34</v>
      </c>
    </row>
    <row r="36">
      <c r="A36" s="4" t="s">
        <v>36</v>
      </c>
      <c r="B36" s="4" t="s">
        <v>28</v>
      </c>
      <c r="C36" s="4" t="s">
        <v>18</v>
      </c>
      <c r="D36" s="4">
        <v>2023.0</v>
      </c>
      <c r="E36" s="4">
        <v>17.0</v>
      </c>
      <c r="F36" s="4">
        <v>77.0</v>
      </c>
      <c r="G36" s="4">
        <v>1.0</v>
      </c>
      <c r="H36" s="4">
        <v>4.53</v>
      </c>
      <c r="I36" s="4" t="s">
        <v>34</v>
      </c>
    </row>
    <row r="37">
      <c r="A37" s="4" t="s">
        <v>35</v>
      </c>
      <c r="B37" s="4" t="s">
        <v>20</v>
      </c>
      <c r="C37" s="4" t="s">
        <v>22</v>
      </c>
      <c r="D37" s="4">
        <v>2023.0</v>
      </c>
      <c r="E37" s="4">
        <v>16.5</v>
      </c>
      <c r="F37" s="4">
        <v>74.3</v>
      </c>
      <c r="G37" s="4">
        <v>3.0</v>
      </c>
      <c r="H37" s="4">
        <v>4.5</v>
      </c>
      <c r="I37" s="4" t="s">
        <v>34</v>
      </c>
    </row>
    <row r="38">
      <c r="A38" s="4" t="s">
        <v>40</v>
      </c>
      <c r="B38" s="4" t="s">
        <v>28</v>
      </c>
      <c r="C38" s="4" t="s">
        <v>22</v>
      </c>
      <c r="D38" s="4">
        <v>2023.0</v>
      </c>
      <c r="E38" s="4">
        <v>9.5</v>
      </c>
      <c r="F38" s="4">
        <v>33.0</v>
      </c>
      <c r="G38" s="4">
        <v>5.0</v>
      </c>
      <c r="H38" s="4">
        <v>3.47</v>
      </c>
      <c r="I38" s="4" t="s">
        <v>41</v>
      </c>
    </row>
    <row r="39">
      <c r="A39" s="4" t="s">
        <v>42</v>
      </c>
      <c r="B39" s="4" t="s">
        <v>12</v>
      </c>
      <c r="C39" s="4" t="s">
        <v>33</v>
      </c>
      <c r="D39" s="4">
        <v>2023.0</v>
      </c>
      <c r="E39" s="4">
        <v>6.5</v>
      </c>
      <c r="F39" s="4">
        <v>22.0</v>
      </c>
      <c r="G39" s="4">
        <v>5.0</v>
      </c>
      <c r="H39" s="4">
        <v>3.38</v>
      </c>
      <c r="I39" s="4" t="s">
        <v>41</v>
      </c>
    </row>
    <row r="40">
      <c r="A40" s="4" t="s">
        <v>43</v>
      </c>
      <c r="B40" s="4" t="s">
        <v>28</v>
      </c>
      <c r="C40" s="4" t="s">
        <v>16</v>
      </c>
      <c r="D40" s="4">
        <v>2023.0</v>
      </c>
      <c r="E40" s="4">
        <v>11.0</v>
      </c>
      <c r="F40" s="4">
        <v>16.0</v>
      </c>
      <c r="G40" s="4">
        <v>6.0</v>
      </c>
      <c r="H40" s="4">
        <v>1.45</v>
      </c>
      <c r="I40" s="4" t="s">
        <v>44</v>
      </c>
    </row>
    <row r="41">
      <c r="A41" s="4" t="s">
        <v>45</v>
      </c>
      <c r="B41" s="4" t="s">
        <v>20</v>
      </c>
      <c r="C41" s="4" t="s">
        <v>18</v>
      </c>
      <c r="D41" s="4">
        <v>2023.0</v>
      </c>
      <c r="E41" s="4">
        <v>4.0</v>
      </c>
      <c r="F41" s="4">
        <v>0.0</v>
      </c>
      <c r="G41" s="4">
        <v>8.0</v>
      </c>
      <c r="H41" s="4">
        <v>0.0</v>
      </c>
      <c r="I41" s="4" t="s">
        <v>44</v>
      </c>
    </row>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D$1:$D$1000">
    <filterColumn colId="0">
      <filters>
        <filter val="2023"/>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3</v>
      </c>
      <c r="C1" s="4" t="s">
        <v>4</v>
      </c>
      <c r="D1" s="4" t="s">
        <v>5</v>
      </c>
      <c r="E1" s="4" t="s">
        <v>6</v>
      </c>
      <c r="F1" s="4" t="s">
        <v>7</v>
      </c>
      <c r="G1" s="4" t="s">
        <v>9</v>
      </c>
      <c r="H1" s="4" t="s">
        <v>8</v>
      </c>
      <c r="I1" s="4" t="s">
        <v>10</v>
      </c>
      <c r="J1" s="4" t="s">
        <v>46</v>
      </c>
      <c r="K1" s="4" t="s">
        <v>47</v>
      </c>
      <c r="L1" s="4" t="s">
        <v>48</v>
      </c>
      <c r="M1" s="4" t="s">
        <v>49</v>
      </c>
      <c r="N1" s="4" t="s">
        <v>50</v>
      </c>
      <c r="O1" s="4" t="s">
        <v>51</v>
      </c>
      <c r="P1" s="4" t="s">
        <v>52</v>
      </c>
      <c r="Q1" s="4" t="s">
        <v>53</v>
      </c>
    </row>
    <row r="2">
      <c r="A2" s="4" t="s">
        <v>11</v>
      </c>
      <c r="B2" s="4" t="s">
        <v>12</v>
      </c>
      <c r="C2" s="4" t="s">
        <v>13</v>
      </c>
      <c r="D2" s="4">
        <v>2022.0</v>
      </c>
      <c r="E2" s="4">
        <v>1.5</v>
      </c>
      <c r="F2" s="4">
        <v>100.0</v>
      </c>
      <c r="G2" s="4">
        <v>66.67</v>
      </c>
      <c r="H2" s="4">
        <v>1.0</v>
      </c>
      <c r="I2" s="4" t="s">
        <v>14</v>
      </c>
      <c r="J2" s="5" t="str">
        <f t="array" ref="J2">xlookup(A2,Batting!A:A,Batting!E:E,"")</f>
        <v/>
      </c>
      <c r="K2" s="5" t="str">
        <f t="array" ref="K2">xlookup(A2,Batting!A:A,Batting!F:F,"")</f>
        <v/>
      </c>
      <c r="L2" s="5" t="str">
        <f t="array" ref="L2">xlookup(A2,Batting!A:A,Batting!G:G,"")</f>
        <v/>
      </c>
      <c r="M2" s="5" t="str">
        <f t="array" ref="M2">xlookup(A2,Batting!A:A,Batting!H:H,"")</f>
        <v/>
      </c>
      <c r="N2" s="5">
        <f t="array" ref="N2">xlookup(A2,Bowling!A:A,Bowling!F:F,"")</f>
        <v>26</v>
      </c>
      <c r="O2" s="5">
        <f t="array" ref="O2">xlookup(A2,Bowling!A:A,Bowling!G:G,"")</f>
        <v>5.09</v>
      </c>
      <c r="P2" s="5">
        <f t="array" ref="P2">xlookup(A2,Bowling!A:A,Bowling!H:H,"")</f>
        <v>1.86</v>
      </c>
      <c r="Q2" s="5">
        <f t="array" ref="Q2">xlookup(A2,Bowling!A:A,Bowling!I:I,"")</f>
        <v>61.78</v>
      </c>
    </row>
    <row r="3">
      <c r="A3" s="4" t="s">
        <v>15</v>
      </c>
      <c r="B3" s="4" t="s">
        <v>12</v>
      </c>
      <c r="C3" s="4" t="s">
        <v>16</v>
      </c>
      <c r="D3" s="4">
        <v>2022.0</v>
      </c>
      <c r="E3" s="4">
        <v>1.2</v>
      </c>
      <c r="F3" s="4">
        <v>62.0</v>
      </c>
      <c r="G3" s="4">
        <v>51.67</v>
      </c>
      <c r="H3" s="4">
        <v>3.0</v>
      </c>
      <c r="I3" s="4" t="s">
        <v>14</v>
      </c>
      <c r="J3" s="5" t="str">
        <f t="array" ref="J3">xlookup(A3,Batting!A:A,Batting!E:E,"")</f>
        <v/>
      </c>
      <c r="K3" s="5" t="str">
        <f t="array" ref="K3">xlookup(A3,Batting!A:A,Batting!F:F,"")</f>
        <v/>
      </c>
      <c r="L3" s="5" t="str">
        <f t="array" ref="L3">xlookup(A3,Batting!A:A,Batting!G:G,"")</f>
        <v/>
      </c>
      <c r="M3" s="5" t="str">
        <f t="array" ref="M3">xlookup(A3,Batting!A:A,Batting!H:H,"")</f>
        <v/>
      </c>
      <c r="N3" s="5">
        <f t="array" ref="N3">xlookup(A3,Bowling!A:A,Bowling!F:F,"")</f>
        <v>25</v>
      </c>
      <c r="O3" s="5">
        <f t="array" ref="O3">xlookup(A3,Bowling!A:A,Bowling!G:G,"")</f>
        <v>5.69</v>
      </c>
      <c r="P3" s="5">
        <f t="array" ref="P3">xlookup(A3,Bowling!A:A,Bowling!H:H,"")</f>
        <v>1.79</v>
      </c>
      <c r="Q3" s="5">
        <f t="array" ref="Q3">xlookup(A3,Bowling!A:A,Bowling!I:I,"")</f>
        <v>60.34</v>
      </c>
    </row>
    <row r="4">
      <c r="A4" s="4" t="s">
        <v>17</v>
      </c>
      <c r="B4" s="4" t="s">
        <v>12</v>
      </c>
      <c r="C4" s="4" t="s">
        <v>18</v>
      </c>
      <c r="D4" s="4">
        <v>2022.0</v>
      </c>
      <c r="E4" s="4">
        <v>1.8</v>
      </c>
      <c r="F4" s="4">
        <v>66.0</v>
      </c>
      <c r="G4" s="4">
        <v>36.67</v>
      </c>
      <c r="H4" s="4">
        <v>2.0</v>
      </c>
      <c r="I4" s="4" t="s">
        <v>14</v>
      </c>
      <c r="J4" s="5" t="str">
        <f t="array" ref="J4">xlookup(A4,Batting!A:A,Batting!E:E,"")</f>
        <v/>
      </c>
      <c r="K4" s="5" t="str">
        <f t="array" ref="K4">xlookup(A4,Batting!A:A,Batting!F:F,"")</f>
        <v/>
      </c>
      <c r="L4" s="5" t="str">
        <f t="array" ref="L4">xlookup(A4,Batting!A:A,Batting!G:G,"")</f>
        <v/>
      </c>
      <c r="M4" s="5" t="str">
        <f t="array" ref="M4">xlookup(A4,Batting!A:A,Batting!H:H,"")</f>
        <v/>
      </c>
      <c r="N4" s="5">
        <f t="array" ref="N4">xlookup(A4,Bowling!A:A,Bowling!F:F,"")</f>
        <v>23</v>
      </c>
      <c r="O4" s="5">
        <f t="array" ref="O4">xlookup(A4,Bowling!A:A,Bowling!G:G,"")</f>
        <v>5.63</v>
      </c>
      <c r="P4" s="5">
        <f t="array" ref="P4">xlookup(A4,Bowling!A:A,Bowling!H:H,"")</f>
        <v>1.64</v>
      </c>
      <c r="Q4" s="5">
        <f t="array" ref="Q4">xlookup(A4,Bowling!A:A,Bowling!I:I,"")</f>
        <v>59.52</v>
      </c>
    </row>
    <row r="5">
      <c r="A5" s="4" t="s">
        <v>19</v>
      </c>
      <c r="B5" s="4" t="s">
        <v>20</v>
      </c>
      <c r="C5" s="4" t="s">
        <v>16</v>
      </c>
      <c r="D5" s="4">
        <v>2022.0</v>
      </c>
      <c r="E5" s="4">
        <v>2.0</v>
      </c>
      <c r="F5" s="4">
        <v>32.9</v>
      </c>
      <c r="G5" s="4">
        <v>16.45</v>
      </c>
      <c r="H5" s="4">
        <v>6.0</v>
      </c>
      <c r="I5" s="4" t="s">
        <v>14</v>
      </c>
      <c r="J5" s="5">
        <f t="array" ref="J5">xlookup(A5,Batting!A:A,Batting!E:E,"")</f>
        <v>310</v>
      </c>
      <c r="K5" s="5">
        <f t="array" ref="K5">xlookup(A5,Batting!A:A,Batting!F:F,"")</f>
        <v>25.83</v>
      </c>
      <c r="L5" s="5">
        <f t="array" ref="L5">xlookup(A5,Batting!A:A,Batting!G:G,"")</f>
        <v>119.23</v>
      </c>
      <c r="M5" s="5">
        <f t="array" ref="M5">xlookup(A5,Batting!A:A,Batting!H:H,"")</f>
        <v>51.61</v>
      </c>
      <c r="N5" s="5" t="str">
        <f t="array" ref="N5">xlookup(A5,Bowling!A:A,Bowling!F:F,"")</f>
        <v/>
      </c>
      <c r="O5" s="5" t="str">
        <f t="array" ref="O5">xlookup(A5,Bowling!A:A,Bowling!G:G,"")</f>
        <v/>
      </c>
      <c r="P5" s="5" t="str">
        <f t="array" ref="P5">xlookup(A5,Bowling!A:A,Bowling!H:H,"")</f>
        <v/>
      </c>
      <c r="Q5" s="5" t="str">
        <f t="array" ref="Q5">xlookup(A5,Bowling!A:A,Bowling!I:I,"")</f>
        <v/>
      </c>
    </row>
    <row r="6">
      <c r="A6" s="4" t="s">
        <v>21</v>
      </c>
      <c r="B6" s="4" t="s">
        <v>20</v>
      </c>
      <c r="C6" s="4" t="s">
        <v>22</v>
      </c>
      <c r="D6" s="4">
        <v>2022.0</v>
      </c>
      <c r="E6" s="4">
        <v>3.5</v>
      </c>
      <c r="F6" s="4">
        <v>57.1</v>
      </c>
      <c r="G6" s="4">
        <v>16.31</v>
      </c>
      <c r="H6" s="4">
        <v>4.0</v>
      </c>
      <c r="I6" s="4" t="s">
        <v>14</v>
      </c>
      <c r="J6" s="5">
        <f t="array" ref="J6">xlookup(A6,Batting!A:A,Batting!E:E,"")</f>
        <v>390</v>
      </c>
      <c r="K6" s="5">
        <f t="array" ref="K6">xlookup(A6,Batting!A:A,Batting!F:F,"")</f>
        <v>30</v>
      </c>
      <c r="L6" s="5">
        <f t="array" ref="L6">xlookup(A6,Batting!A:A,Batting!G:G,"")</f>
        <v>125.81</v>
      </c>
      <c r="M6" s="5">
        <f t="array" ref="M6">xlookup(A6,Batting!A:A,Batting!H:H,"")</f>
        <v>55.38</v>
      </c>
      <c r="N6" s="5" t="str">
        <f t="array" ref="N6">xlookup(A6,Bowling!A:A,Bowling!F:F,"")</f>
        <v/>
      </c>
      <c r="O6" s="5" t="str">
        <f t="array" ref="O6">xlookup(A6,Bowling!A:A,Bowling!G:G,"")</f>
        <v/>
      </c>
      <c r="P6" s="5" t="str">
        <f t="array" ref="P6">xlookup(A6,Bowling!A:A,Bowling!H:H,"")</f>
        <v/>
      </c>
      <c r="Q6" s="5" t="str">
        <f t="array" ref="Q6">xlookup(A6,Bowling!A:A,Bowling!I:I,"")</f>
        <v/>
      </c>
    </row>
    <row r="7">
      <c r="A7" s="4" t="s">
        <v>23</v>
      </c>
      <c r="B7" s="4" t="s">
        <v>20</v>
      </c>
      <c r="C7" s="4" t="s">
        <v>24</v>
      </c>
      <c r="D7" s="4">
        <v>2022.0</v>
      </c>
      <c r="E7" s="4">
        <v>6.5</v>
      </c>
      <c r="F7" s="4">
        <v>100.0</v>
      </c>
      <c r="G7" s="4">
        <v>15.38</v>
      </c>
      <c r="H7" s="4">
        <v>1.0</v>
      </c>
      <c r="I7" s="4" t="s">
        <v>14</v>
      </c>
      <c r="J7" s="5">
        <f t="array" ref="J7">xlookup(A7,Batting!A:A,Batting!E:E,"")</f>
        <v>520</v>
      </c>
      <c r="K7" s="5">
        <f t="array" ref="K7">xlookup(A7,Batting!A:A,Batting!F:F,"")</f>
        <v>43.33</v>
      </c>
      <c r="L7" s="5">
        <f t="array" ref="L7">xlookup(A7,Batting!A:A,Batting!G:G,"")</f>
        <v>157.58</v>
      </c>
      <c r="M7" s="5">
        <f t="array" ref="M7">xlookup(A7,Batting!A:A,Batting!H:H,"")</f>
        <v>76.92</v>
      </c>
      <c r="N7" s="5" t="str">
        <f t="array" ref="N7">xlookup(A7,Bowling!A:A,Bowling!F:F,"")</f>
        <v/>
      </c>
      <c r="O7" s="5" t="str">
        <f t="array" ref="O7">xlookup(A7,Bowling!A:A,Bowling!G:G,"")</f>
        <v/>
      </c>
      <c r="P7" s="5" t="str">
        <f t="array" ref="P7">xlookup(A7,Bowling!A:A,Bowling!H:H,"")</f>
        <v/>
      </c>
      <c r="Q7" s="5" t="str">
        <f t="array" ref="Q7">xlookup(A7,Bowling!A:A,Bowling!I:I,"")</f>
        <v/>
      </c>
    </row>
    <row r="8">
      <c r="A8" s="4" t="s">
        <v>25</v>
      </c>
      <c r="B8" s="4" t="s">
        <v>20</v>
      </c>
      <c r="C8" s="4" t="s">
        <v>26</v>
      </c>
      <c r="D8" s="4">
        <v>2022.0</v>
      </c>
      <c r="E8" s="4">
        <v>7.0</v>
      </c>
      <c r="F8" s="4">
        <v>82.9</v>
      </c>
      <c r="G8" s="4">
        <v>11.84</v>
      </c>
      <c r="H8" s="4">
        <v>2.0</v>
      </c>
      <c r="I8" s="4" t="s">
        <v>14</v>
      </c>
      <c r="J8" s="5">
        <f t="array" ref="J8">xlookup(A8,Batting!A:A,Batting!E:E,"")</f>
        <v>430</v>
      </c>
      <c r="K8" s="5">
        <f t="array" ref="K8">xlookup(A8,Batting!A:A,Batting!F:F,"")</f>
        <v>33.08</v>
      </c>
      <c r="L8" s="5">
        <f t="array" ref="L8">xlookup(A8,Batting!A:A,Batting!G:G,"")</f>
        <v>126.47</v>
      </c>
      <c r="M8" s="5">
        <f t="array" ref="M8">xlookup(A8,Batting!A:A,Batting!H:H,"")</f>
        <v>59.53</v>
      </c>
      <c r="N8" s="5" t="str">
        <f t="array" ref="N8">xlookup(A8,Bowling!A:A,Bowling!F:F,"")</f>
        <v/>
      </c>
      <c r="O8" s="5" t="str">
        <f t="array" ref="O8">xlookup(A8,Bowling!A:A,Bowling!G:G,"")</f>
        <v/>
      </c>
      <c r="P8" s="5" t="str">
        <f t="array" ref="P8">xlookup(A8,Bowling!A:A,Bowling!H:H,"")</f>
        <v/>
      </c>
      <c r="Q8" s="5" t="str">
        <f t="array" ref="Q8">xlookup(A8,Bowling!A:A,Bowling!I:I,"")</f>
        <v/>
      </c>
    </row>
    <row r="9">
      <c r="A9" s="4" t="s">
        <v>27</v>
      </c>
      <c r="B9" s="4" t="s">
        <v>28</v>
      </c>
      <c r="C9" s="4" t="s">
        <v>24</v>
      </c>
      <c r="D9" s="4">
        <v>2022.0</v>
      </c>
      <c r="E9" s="4">
        <v>10.0</v>
      </c>
      <c r="F9" s="4">
        <v>64.0</v>
      </c>
      <c r="G9" s="4">
        <v>6.4</v>
      </c>
      <c r="H9" s="4">
        <v>2.0</v>
      </c>
      <c r="I9" s="4" t="s">
        <v>29</v>
      </c>
      <c r="J9" s="5">
        <f t="array" ref="J9">xlookup(A9,Batting!A:A,Batting!E:E,"")</f>
        <v>290</v>
      </c>
      <c r="K9" s="5">
        <f t="array" ref="K9">xlookup(A9,Batting!A:A,Batting!F:F,"")</f>
        <v>22.31</v>
      </c>
      <c r="L9" s="5">
        <f t="array" ref="L9">xlookup(A9,Batting!A:A,Batting!G:G,"")</f>
        <v>126.09</v>
      </c>
      <c r="M9" s="5">
        <f t="array" ref="M9">xlookup(A9,Batting!A:A,Batting!H:H,"")</f>
        <v>57.24</v>
      </c>
      <c r="N9" s="5">
        <f t="array" ref="N9">xlookup(A9,Bowling!A:A,Bowling!F:F,"")</f>
        <v>13</v>
      </c>
      <c r="O9" s="5">
        <f t="array" ref="O9">xlookup(A9,Bowling!A:A,Bowling!G:G,"")</f>
        <v>6.5</v>
      </c>
      <c r="P9" s="5">
        <f t="array" ref="P9">xlookup(A9,Bowling!A:A,Bowling!H:H,"")</f>
        <v>0.93</v>
      </c>
      <c r="Q9" s="5">
        <f t="array" ref="Q9">xlookup(A9,Bowling!A:A,Bowling!I:I,"")</f>
        <v>42.67</v>
      </c>
    </row>
    <row r="10">
      <c r="A10" s="4" t="s">
        <v>30</v>
      </c>
      <c r="B10" s="4" t="s">
        <v>20</v>
      </c>
      <c r="C10" s="4" t="s">
        <v>13</v>
      </c>
      <c r="D10" s="4">
        <v>2022.0</v>
      </c>
      <c r="E10" s="4">
        <v>5.5</v>
      </c>
      <c r="F10" s="4">
        <v>34.3</v>
      </c>
      <c r="G10" s="4">
        <v>6.24</v>
      </c>
      <c r="H10" s="4">
        <v>5.0</v>
      </c>
      <c r="I10" s="4" t="s">
        <v>29</v>
      </c>
      <c r="J10" s="5">
        <f t="array" ref="J10">xlookup(A10,Batting!A:A,Batting!E:E,"")</f>
        <v>360</v>
      </c>
      <c r="K10" s="5">
        <f t="array" ref="K10">xlookup(A10,Batting!A:A,Batting!F:F,"")</f>
        <v>27.69</v>
      </c>
      <c r="L10" s="5">
        <f t="array" ref="L10">xlookup(A10,Batting!A:A,Batting!G:G,"")</f>
        <v>124.14</v>
      </c>
      <c r="M10" s="5">
        <f t="array" ref="M10">xlookup(A10,Batting!A:A,Batting!H:H,"")</f>
        <v>50</v>
      </c>
      <c r="N10" s="5" t="str">
        <f t="array" ref="N10">xlookup(A10,Bowling!A:A,Bowling!F:F,"")</f>
        <v/>
      </c>
      <c r="O10" s="5" t="str">
        <f t="array" ref="O10">xlookup(A10,Bowling!A:A,Bowling!G:G,"")</f>
        <v/>
      </c>
      <c r="P10" s="5" t="str">
        <f t="array" ref="P10">xlookup(A10,Bowling!A:A,Bowling!H:H,"")</f>
        <v/>
      </c>
      <c r="Q10" s="5" t="str">
        <f t="array" ref="Q10">xlookup(A10,Bowling!A:A,Bowling!I:I,"")</f>
        <v/>
      </c>
    </row>
    <row r="11">
      <c r="A11" s="4" t="s">
        <v>31</v>
      </c>
      <c r="B11" s="4" t="s">
        <v>12</v>
      </c>
      <c r="C11" s="4" t="s">
        <v>22</v>
      </c>
      <c r="D11" s="4">
        <v>2022.0</v>
      </c>
      <c r="E11" s="4">
        <v>1.0</v>
      </c>
      <c r="F11" s="4">
        <v>6.0</v>
      </c>
      <c r="G11" s="4">
        <v>6.0</v>
      </c>
      <c r="H11" s="4">
        <v>6.0</v>
      </c>
      <c r="I11" s="4" t="s">
        <v>29</v>
      </c>
      <c r="J11" s="5" t="str">
        <f t="array" ref="J11">xlookup(A11,Batting!A:A,Batting!E:E,"")</f>
        <v/>
      </c>
      <c r="K11" s="5" t="str">
        <f t="array" ref="K11">xlookup(A11,Batting!A:A,Batting!F:F,"")</f>
        <v/>
      </c>
      <c r="L11" s="5" t="str">
        <f t="array" ref="L11">xlookup(A11,Batting!A:A,Batting!G:G,"")</f>
        <v/>
      </c>
      <c r="M11" s="5" t="str">
        <f t="array" ref="M11">xlookup(A11,Batting!A:A,Batting!H:H,"")</f>
        <v/>
      </c>
      <c r="N11" s="5">
        <f t="array" ref="N11">xlookup(A11,Bowling!A:A,Bowling!F:F,"")</f>
        <v>17</v>
      </c>
      <c r="O11" s="5">
        <f t="array" ref="O11">xlookup(A11,Bowling!A:A,Bowling!G:G,"")</f>
        <v>6.25</v>
      </c>
      <c r="P11" s="5">
        <f t="array" ref="P11">xlookup(A11,Bowling!A:A,Bowling!H:H,"")</f>
        <v>1.21</v>
      </c>
      <c r="Q11" s="5">
        <f t="array" ref="Q11">xlookup(A11,Bowling!A:A,Bowling!I:I,"")</f>
        <v>49.68</v>
      </c>
    </row>
    <row r="12">
      <c r="A12" s="4" t="s">
        <v>32</v>
      </c>
      <c r="B12" s="4" t="s">
        <v>12</v>
      </c>
      <c r="C12" s="4" t="s">
        <v>33</v>
      </c>
      <c r="D12" s="4">
        <v>2022.0</v>
      </c>
      <c r="E12" s="4">
        <v>9.0</v>
      </c>
      <c r="F12" s="4">
        <v>52.0</v>
      </c>
      <c r="G12" s="4">
        <v>5.78</v>
      </c>
      <c r="H12" s="4">
        <v>4.0</v>
      </c>
      <c r="I12" s="4" t="s">
        <v>34</v>
      </c>
      <c r="J12" s="5" t="str">
        <f t="array" ref="J12">xlookup(A12,Batting!A:A,Batting!E:E,"")</f>
        <v/>
      </c>
      <c r="K12" s="5" t="str">
        <f t="array" ref="K12">xlookup(A12,Batting!A:A,Batting!F:F,"")</f>
        <v/>
      </c>
      <c r="L12" s="5" t="str">
        <f t="array" ref="L12">xlookup(A12,Batting!A:A,Batting!G:G,"")</f>
        <v/>
      </c>
      <c r="M12" s="5" t="str">
        <f t="array" ref="M12">xlookup(A12,Batting!A:A,Batting!H:H,"")</f>
        <v/>
      </c>
      <c r="N12" s="5">
        <f t="array" ref="N12">xlookup(A12,Bowling!A:A,Bowling!F:F,"")</f>
        <v>20</v>
      </c>
      <c r="O12" s="5">
        <f t="array" ref="O12">xlookup(A12,Bowling!A:A,Bowling!G:G,"")</f>
        <v>5.38</v>
      </c>
      <c r="P12" s="5">
        <f t="array" ref="P12">xlookup(A12,Bowling!A:A,Bowling!H:H,"")</f>
        <v>1.43</v>
      </c>
      <c r="Q12" s="5">
        <f t="array" ref="Q12">xlookup(A12,Bowling!A:A,Bowling!I:I,"")</f>
        <v>56.09</v>
      </c>
    </row>
    <row r="13">
      <c r="A13" s="4" t="s">
        <v>35</v>
      </c>
      <c r="B13" s="4" t="s">
        <v>20</v>
      </c>
      <c r="C13" s="4" t="s">
        <v>22</v>
      </c>
      <c r="D13" s="4">
        <v>2022.0</v>
      </c>
      <c r="E13" s="4">
        <v>14.0</v>
      </c>
      <c r="F13" s="4">
        <v>74.3</v>
      </c>
      <c r="G13" s="4">
        <v>5.31</v>
      </c>
      <c r="H13" s="4">
        <v>3.0</v>
      </c>
      <c r="I13" s="4" t="s">
        <v>34</v>
      </c>
      <c r="J13" s="5">
        <f t="array" ref="J13">xlookup(A13,Batting!A:A,Batting!E:E,"")</f>
        <v>480</v>
      </c>
      <c r="K13" s="5">
        <f t="array" ref="K13">xlookup(A13,Batting!A:A,Batting!F:F,"")</f>
        <v>34.29</v>
      </c>
      <c r="L13" s="5">
        <f t="array" ref="L13">xlookup(A13,Batting!A:A,Batting!G:G,"")</f>
        <v>126.32</v>
      </c>
      <c r="M13" s="5">
        <f t="array" ref="M13">xlookup(A13,Batting!A:A,Batting!H:H,"")</f>
        <v>57.5</v>
      </c>
      <c r="N13" s="5" t="str">
        <f t="array" ref="N13">xlookup(A13,Bowling!A:A,Bowling!F:F,"")</f>
        <v/>
      </c>
      <c r="O13" s="5" t="str">
        <f t="array" ref="O13">xlookup(A13,Bowling!A:A,Bowling!G:G,"")</f>
        <v/>
      </c>
      <c r="P13" s="5" t="str">
        <f t="array" ref="P13">xlookup(A13,Bowling!A:A,Bowling!H:H,"")</f>
        <v/>
      </c>
      <c r="Q13" s="5" t="str">
        <f t="array" ref="Q13">xlookup(A13,Bowling!A:A,Bowling!I:I,"")</f>
        <v/>
      </c>
    </row>
    <row r="14">
      <c r="A14" s="4" t="s">
        <v>36</v>
      </c>
      <c r="B14" s="4" t="s">
        <v>28</v>
      </c>
      <c r="C14" s="4" t="s">
        <v>18</v>
      </c>
      <c r="D14" s="4">
        <v>2022.0</v>
      </c>
      <c r="E14" s="4">
        <v>15.25</v>
      </c>
      <c r="F14" s="4">
        <v>75.0</v>
      </c>
      <c r="G14" s="4">
        <v>4.92</v>
      </c>
      <c r="H14" s="4">
        <v>1.0</v>
      </c>
      <c r="I14" s="4" t="s">
        <v>34</v>
      </c>
      <c r="J14" s="5">
        <f t="array" ref="J14">xlookup(A14,Batting!A:A,Batting!E:E,"")</f>
        <v>310</v>
      </c>
      <c r="K14" s="5">
        <f t="array" ref="K14">xlookup(A14,Batting!A:A,Batting!F:F,"")</f>
        <v>22.14</v>
      </c>
      <c r="L14" s="5">
        <f t="array" ref="L14">xlookup(A14,Batting!A:A,Batting!G:G,"")</f>
        <v>129.17</v>
      </c>
      <c r="M14" s="5">
        <f t="array" ref="M14">xlookup(A14,Batting!A:A,Batting!H:H,"")</f>
        <v>63.23</v>
      </c>
      <c r="N14" s="5">
        <f t="array" ref="N14">xlookup(A14,Bowling!A:A,Bowling!F:F,"")</f>
        <v>14</v>
      </c>
      <c r="O14" s="5">
        <f t="array" ref="O14">xlookup(A14,Bowling!A:A,Bowling!G:G,"")</f>
        <v>6.73</v>
      </c>
      <c r="P14" s="5">
        <f t="array" ref="P14">xlookup(A14,Bowling!A:A,Bowling!H:H,"")</f>
        <v>1</v>
      </c>
      <c r="Q14" s="5">
        <f t="array" ref="Q14">xlookup(A14,Bowling!A:A,Bowling!I:I,"")</f>
        <v>43.27</v>
      </c>
    </row>
    <row r="15">
      <c r="A15" s="4" t="s">
        <v>37</v>
      </c>
      <c r="B15" s="4" t="s">
        <v>20</v>
      </c>
      <c r="C15" s="4" t="s">
        <v>24</v>
      </c>
      <c r="D15" s="4">
        <v>2022.0</v>
      </c>
      <c r="E15" s="4">
        <v>3.0</v>
      </c>
      <c r="F15" s="4">
        <v>14.3</v>
      </c>
      <c r="G15" s="4">
        <v>4.77</v>
      </c>
      <c r="H15" s="4">
        <v>7.0</v>
      </c>
      <c r="I15" s="4" t="s">
        <v>34</v>
      </c>
      <c r="J15" s="5">
        <f t="array" ref="J15">xlookup(A15,Batting!A:A,Batting!E:E,"")</f>
        <v>300</v>
      </c>
      <c r="K15" s="5">
        <f t="array" ref="K15">xlookup(A15,Batting!A:A,Batting!F:F,"")</f>
        <v>25</v>
      </c>
      <c r="L15" s="5">
        <f t="array" ref="L15">xlookup(A15,Batting!A:A,Batting!G:G,"")</f>
        <v>117.65</v>
      </c>
      <c r="M15" s="5">
        <f t="array" ref="M15">xlookup(A15,Batting!A:A,Batting!H:H,"")</f>
        <v>50</v>
      </c>
      <c r="N15" s="5" t="str">
        <f t="array" ref="N15">xlookup(A15,Bowling!A:A,Bowling!F:F,"")</f>
        <v/>
      </c>
      <c r="O15" s="5" t="str">
        <f t="array" ref="O15">xlookup(A15,Bowling!A:A,Bowling!G:G,"")</f>
        <v/>
      </c>
      <c r="P15" s="5" t="str">
        <f t="array" ref="P15">xlookup(A15,Bowling!A:A,Bowling!H:H,"")</f>
        <v/>
      </c>
      <c r="Q15" s="5" t="str">
        <f t="array" ref="Q15">xlookup(A15,Bowling!A:A,Bowling!I:I,"")</f>
        <v/>
      </c>
    </row>
    <row r="16">
      <c r="A16" s="4" t="s">
        <v>38</v>
      </c>
      <c r="B16" s="4" t="s">
        <v>28</v>
      </c>
      <c r="C16" s="4" t="s">
        <v>26</v>
      </c>
      <c r="D16" s="4">
        <v>2022.0</v>
      </c>
      <c r="E16" s="4">
        <v>11.0</v>
      </c>
      <c r="F16" s="4">
        <v>49.0</v>
      </c>
      <c r="G16" s="4">
        <v>4.45</v>
      </c>
      <c r="H16" s="4">
        <v>3.0</v>
      </c>
      <c r="I16" s="4" t="s">
        <v>34</v>
      </c>
      <c r="J16" s="5">
        <f t="array" ref="J16">xlookup(A16,Batting!A:A,Batting!E:E,"")</f>
        <v>280</v>
      </c>
      <c r="K16" s="5">
        <f t="array" ref="K16">xlookup(A16,Batting!A:A,Batting!F:F,"")</f>
        <v>20</v>
      </c>
      <c r="L16" s="5">
        <f t="array" ref="L16">xlookup(A16,Batting!A:A,Batting!G:G,"")</f>
        <v>127.27</v>
      </c>
      <c r="M16" s="5">
        <f t="array" ref="M16">xlookup(A16,Batting!A:A,Batting!H:H,"")</f>
        <v>55.71</v>
      </c>
      <c r="N16" s="5">
        <f t="array" ref="N16">xlookup(A16,Bowling!A:A,Bowling!F:F,"")</f>
        <v>12</v>
      </c>
      <c r="O16" s="5">
        <f t="array" ref="O16">xlookup(A16,Bowling!A:A,Bowling!G:G,"")</f>
        <v>6.46</v>
      </c>
      <c r="P16" s="5">
        <f t="array" ref="P16">xlookup(A16,Bowling!A:A,Bowling!H:H,"")</f>
        <v>0.86</v>
      </c>
      <c r="Q16" s="5">
        <f t="array" ref="Q16">xlookup(A16,Bowling!A:A,Bowling!I:I,"")</f>
        <v>43.4</v>
      </c>
    </row>
    <row r="17">
      <c r="A17" s="4" t="s">
        <v>39</v>
      </c>
      <c r="B17" s="4" t="s">
        <v>28</v>
      </c>
      <c r="C17" s="4" t="s">
        <v>33</v>
      </c>
      <c r="D17" s="4">
        <v>2022.0</v>
      </c>
      <c r="E17" s="4">
        <v>8.5</v>
      </c>
      <c r="F17" s="4">
        <v>34.0</v>
      </c>
      <c r="G17" s="4">
        <v>4.0</v>
      </c>
      <c r="H17" s="4">
        <v>4.0</v>
      </c>
      <c r="I17" s="4" t="s">
        <v>34</v>
      </c>
      <c r="J17" s="5">
        <f t="array" ref="J17">xlookup(A17,Batting!A:A,Batting!E:E,"")</f>
        <v>260</v>
      </c>
      <c r="K17" s="5">
        <f t="array" ref="K17">xlookup(A17,Batting!A:A,Batting!F:F,"")</f>
        <v>20</v>
      </c>
      <c r="L17" s="5">
        <f t="array" ref="L17">xlookup(A17,Batting!A:A,Batting!G:G,"")</f>
        <v>123.81</v>
      </c>
      <c r="M17" s="5">
        <f t="array" ref="M17">xlookup(A17,Batting!A:A,Batting!H:H,"")</f>
        <v>56.92</v>
      </c>
      <c r="N17" s="5">
        <f t="array" ref="N17">xlookup(A17,Bowling!A:A,Bowling!F:F,"")</f>
        <v>11</v>
      </c>
      <c r="O17" s="5">
        <f t="array" ref="O17">xlookup(A17,Bowling!A:A,Bowling!G:G,"")</f>
        <v>6.41</v>
      </c>
      <c r="P17" s="5">
        <f t="array" ref="P17">xlookup(A17,Bowling!A:A,Bowling!H:H,"")</f>
        <v>0.79</v>
      </c>
      <c r="Q17" s="5">
        <f t="array" ref="Q17">xlookup(A17,Bowling!A:A,Bowling!I:I,"")</f>
        <v>42.75</v>
      </c>
    </row>
    <row r="18">
      <c r="A18" s="4" t="s">
        <v>40</v>
      </c>
      <c r="B18" s="4" t="s">
        <v>28</v>
      </c>
      <c r="C18" s="4" t="s">
        <v>22</v>
      </c>
      <c r="D18" s="4">
        <v>2022.0</v>
      </c>
      <c r="E18" s="4">
        <v>8.0</v>
      </c>
      <c r="F18" s="4">
        <v>29.0</v>
      </c>
      <c r="G18" s="4">
        <v>3.62</v>
      </c>
      <c r="H18" s="4">
        <v>5.0</v>
      </c>
      <c r="I18" s="4" t="s">
        <v>41</v>
      </c>
      <c r="J18" s="5">
        <f t="array" ref="J18">xlookup(A18,Batting!A:A,Batting!E:E,"")</f>
        <v>240</v>
      </c>
      <c r="K18" s="5">
        <f t="array" ref="K18">xlookup(A18,Batting!A:A,Batting!F:F,"")</f>
        <v>17.14</v>
      </c>
      <c r="L18" s="5">
        <f t="array" ref="L18">xlookup(A18,Batting!A:A,Batting!G:G,"")</f>
        <v>120</v>
      </c>
      <c r="M18" s="5">
        <f t="array" ref="M18">xlookup(A18,Batting!A:A,Batting!H:H,"")</f>
        <v>55.83</v>
      </c>
      <c r="N18" s="5">
        <f t="array" ref="N18">xlookup(A18,Bowling!A:A,Bowling!F:F,"")</f>
        <v>11</v>
      </c>
      <c r="O18" s="5">
        <f t="array" ref="O18">xlookup(A18,Bowling!A:A,Bowling!G:G,"")</f>
        <v>6.2</v>
      </c>
      <c r="P18" s="5">
        <f t="array" ref="P18">xlookup(A18,Bowling!A:A,Bowling!H:H,"")</f>
        <v>0.79</v>
      </c>
      <c r="Q18" s="5">
        <f t="array" ref="Q18">xlookup(A18,Bowling!A:A,Bowling!I:I,"")</f>
        <v>40.58</v>
      </c>
    </row>
    <row r="19">
      <c r="A19" s="4" t="s">
        <v>42</v>
      </c>
      <c r="B19" s="4" t="s">
        <v>12</v>
      </c>
      <c r="C19" s="4" t="s">
        <v>33</v>
      </c>
      <c r="D19" s="4">
        <v>2022.0</v>
      </c>
      <c r="E19" s="4">
        <v>4.5</v>
      </c>
      <c r="F19" s="4">
        <v>14.0</v>
      </c>
      <c r="G19" s="4">
        <v>3.11</v>
      </c>
      <c r="H19" s="4">
        <v>5.0</v>
      </c>
      <c r="I19" s="4" t="s">
        <v>41</v>
      </c>
      <c r="J19" s="5" t="str">
        <f t="array" ref="J19">xlookup(A19,Batting!A:A,Batting!E:E,"")</f>
        <v/>
      </c>
      <c r="K19" s="5" t="str">
        <f t="array" ref="K19">xlookup(A19,Batting!A:A,Batting!F:F,"")</f>
        <v/>
      </c>
      <c r="L19" s="5" t="str">
        <f t="array" ref="L19">xlookup(A19,Batting!A:A,Batting!G:G,"")</f>
        <v/>
      </c>
      <c r="M19" s="5" t="str">
        <f t="array" ref="M19">xlookup(A19,Batting!A:A,Batting!H:H,"")</f>
        <v/>
      </c>
      <c r="N19" s="5">
        <f t="array" ref="N19">xlookup(A19,Bowling!A:A,Bowling!F:F,"")</f>
        <v>21</v>
      </c>
      <c r="O19" s="5">
        <f t="array" ref="O19">xlookup(A19,Bowling!A:A,Bowling!G:G,"")</f>
        <v>5.92</v>
      </c>
      <c r="P19" s="5">
        <f t="array" ref="P19">xlookup(A19,Bowling!A:A,Bowling!H:H,"")</f>
        <v>1.5</v>
      </c>
      <c r="Q19" s="5">
        <f t="array" ref="Q19">xlookup(A19,Bowling!A:A,Bowling!I:I,"")</f>
        <v>48.61</v>
      </c>
    </row>
    <row r="20">
      <c r="A20" s="4" t="s">
        <v>43</v>
      </c>
      <c r="B20" s="4" t="s">
        <v>28</v>
      </c>
      <c r="C20" s="4" t="s">
        <v>16</v>
      </c>
      <c r="D20" s="4">
        <v>2022.0</v>
      </c>
      <c r="E20" s="4">
        <v>9.0</v>
      </c>
      <c r="F20" s="4">
        <v>15.0</v>
      </c>
      <c r="G20" s="4">
        <v>1.67</v>
      </c>
      <c r="H20" s="4">
        <v>6.0</v>
      </c>
      <c r="I20" s="4" t="s">
        <v>44</v>
      </c>
      <c r="J20" s="5">
        <f t="array" ref="J20">xlookup(A20,Batting!A:A,Batting!E:E,"")</f>
        <v>200</v>
      </c>
      <c r="K20" s="5">
        <f t="array" ref="K20">xlookup(A20,Batting!A:A,Batting!F:F,"")</f>
        <v>15.38</v>
      </c>
      <c r="L20" s="5">
        <f t="array" ref="L20">xlookup(A20,Batting!A:A,Batting!G:G,"")</f>
        <v>117.65</v>
      </c>
      <c r="M20" s="5">
        <f t="array" ref="M20">xlookup(A20,Batting!A:A,Batting!H:H,"")</f>
        <v>57</v>
      </c>
      <c r="N20" s="5">
        <f t="array" ref="N20">xlookup(A20,Bowling!A:A,Bowling!F:F,"")</f>
        <v>10</v>
      </c>
      <c r="O20" s="5">
        <f t="array" ref="O20">xlookup(A20,Bowling!A:A,Bowling!G:G,"")</f>
        <v>6.55</v>
      </c>
      <c r="P20" s="5">
        <f t="array" ref="P20">xlookup(A20,Bowling!A:A,Bowling!H:H,"")</f>
        <v>0.71</v>
      </c>
      <c r="Q20" s="5">
        <f t="array" ref="Q20">xlookup(A20,Bowling!A:A,Bowling!I:I,"")</f>
        <v>42.86</v>
      </c>
    </row>
    <row r="21">
      <c r="A21" s="4" t="s">
        <v>45</v>
      </c>
      <c r="B21" s="4" t="s">
        <v>20</v>
      </c>
      <c r="C21" s="4" t="s">
        <v>18</v>
      </c>
      <c r="D21" s="4">
        <v>2022.0</v>
      </c>
      <c r="E21" s="4">
        <v>2.5</v>
      </c>
      <c r="F21" s="4">
        <v>0.0</v>
      </c>
      <c r="G21" s="4">
        <v>0.0</v>
      </c>
      <c r="H21" s="4">
        <v>8.0</v>
      </c>
      <c r="I21" s="4" t="s">
        <v>44</v>
      </c>
      <c r="J21" s="5">
        <f t="array" ref="J21">xlookup(A21,Batting!A:A,Batting!E:E,"")</f>
        <v>280</v>
      </c>
      <c r="K21" s="5">
        <f t="array" ref="K21">xlookup(A21,Batting!A:A,Batting!F:F,"")</f>
        <v>23.33</v>
      </c>
      <c r="L21" s="5">
        <f t="array" ref="L21">xlookup(A21,Batting!A:A,Batting!G:G,"")</f>
        <v>116.67</v>
      </c>
      <c r="M21" s="5">
        <f t="array" ref="M21">xlookup(A21,Batting!A:A,Batting!H:H,"")</f>
        <v>48.57</v>
      </c>
      <c r="N21" s="5" t="str">
        <f t="array" ref="N21">xlookup(A21,Bowling!A:A,Bowling!F:F,"")</f>
        <v/>
      </c>
      <c r="O21" s="5" t="str">
        <f t="array" ref="O21">xlookup(A21,Bowling!A:A,Bowling!G:G,"")</f>
        <v/>
      </c>
      <c r="P21" s="5" t="str">
        <f t="array" ref="P21">xlookup(A21,Bowling!A:A,Bowling!H:H,"")</f>
        <v/>
      </c>
      <c r="Q21" s="5" t="str">
        <f t="array" ref="Q21">xlookup(A21,Bowling!A:A,Bowling!I:I,"")</f>
        <v/>
      </c>
    </row>
    <row r="42">
      <c r="J42" s="5" t="str">
        <f t="array" ref="J42">IFERROR(XLOOKUP(1, (Batting!$A$2:$A$29=A42)*(Batting!$D$2:$D$29=D42), Batting!$E$2:$E$29),"")</f>
        <v/>
      </c>
    </row>
    <row r="43">
      <c r="J43" s="5" t="str">
        <f t="array" ref="J43">IFERROR(XLOOKUP(1, (Batting!$A$2:$A$29=A43)*(Batting!$D$2:$D$29=D43), Batting!$E$2:$E$29),"")</f>
        <v/>
      </c>
    </row>
    <row r="44">
      <c r="J44" s="5" t="str">
        <f t="array" ref="J44">IFERROR(XLOOKUP(1, (Batting!$A$2:$A$29=A44)*(Batting!$D$2:$D$29=D44), Batting!$E$2:$E$29),"")</f>
        <v/>
      </c>
    </row>
    <row r="45">
      <c r="J45" s="5" t="str">
        <f t="array" ref="J45">IFERROR(XLOOKUP(1, (Batting!$A$2:$A$29=A45)*(Batting!$D$2:$D$29=D45), Batting!$E$2:$E$29),"")</f>
        <v/>
      </c>
    </row>
    <row r="46">
      <c r="J46" s="5" t="str">
        <f t="array" ref="J46">IFERROR(XLOOKUP(1, (Batting!$A$2:$A$29=A46)*(Batting!$D$2:$D$29=D46), Batting!$E$2:$E$29),"")</f>
        <v/>
      </c>
    </row>
    <row r="47">
      <c r="J47" s="5" t="str">
        <f t="array" ref="J47">IFERROR(XLOOKUP(1, (Batting!$A$2:$A$29=A47)*(Batting!$D$2:$D$29=D47), Batting!$E$2:$E$29),"")</f>
        <v/>
      </c>
    </row>
    <row r="48">
      <c r="J48" s="5" t="str">
        <f t="array" ref="J48">IFERROR(XLOOKUP(1, (Batting!$A$2:$A$29=A48)*(Batting!$D$2:$D$29=D48), Batting!$E$2:$E$29),"")</f>
        <v/>
      </c>
    </row>
    <row r="49">
      <c r="J49" s="5" t="str">
        <f t="array" ref="J49">IFERROR(XLOOKUP(1, (Batting!$A$2:$A$29=A49)*(Batting!$D$2:$D$29=D49), Batting!$E$2:$E$29),"")</f>
        <v/>
      </c>
    </row>
    <row r="50">
      <c r="J50" s="5" t="str">
        <f t="array" ref="J50">IFERROR(XLOOKUP(1, (Batting!$A$2:$A$29=A50)*(Batting!$D$2:$D$29=D50), Batting!$E$2:$E$29),"")</f>
        <v/>
      </c>
    </row>
    <row r="51">
      <c r="J51" s="5" t="str">
        <f t="array" ref="J51">IFERROR(XLOOKUP(1, (Batting!$A$2:$A$29=A51)*(Batting!$D$2:$D$29=D51), Batting!$E$2:$E$29),"")</f>
        <v/>
      </c>
    </row>
    <row r="52">
      <c r="J52" s="5" t="str">
        <f t="array" ref="J52">IFERROR(XLOOKUP(1, (Batting!$A$2:$A$29=A52)*(Batting!$D$2:$D$29=D52), Batting!$E$2:$E$29),"")</f>
        <v/>
      </c>
    </row>
    <row r="53">
      <c r="J53" s="5" t="str">
        <f t="array" ref="J53">IFERROR(XLOOKUP(1, (Batting!$A$2:$A$29=A53)*(Batting!$D$2:$D$29=D53), Batting!$E$2:$E$29),"")</f>
        <v/>
      </c>
    </row>
    <row r="54">
      <c r="J54" s="5" t="str">
        <f t="array" ref="J54">IFERROR(XLOOKUP(1, (Batting!$A$2:$A$29=A54)*(Batting!$D$2:$D$29=D54), Batting!$E$2:$E$29),"")</f>
        <v/>
      </c>
    </row>
  </sheetData>
  <customSheetViews>
    <customSheetView guid="{70944590-CD69-4157-833B-543467CEC00B}" filter="1" showAutoFilter="1">
      <autoFilter ref="$A$1:$Q$21"/>
    </customSheetView>
    <customSheetView guid="{70944590-CD69-4157-833B-543467CEC00B}" filter="1" showAutoFilter="1">
      <autoFilter ref="$A$1:$Q$21"/>
    </customSheetView>
    <customSheetView guid="{70944590-CD69-4157-833B-543467CEC00B}" filter="1" showAutoFilter="1">
      <autoFilter ref="$A$1:$Q$21"/>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sheetData>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3</v>
      </c>
      <c r="C1" s="4" t="s">
        <v>4</v>
      </c>
      <c r="D1" s="4" t="s">
        <v>5</v>
      </c>
      <c r="E1" s="4" t="s">
        <v>6</v>
      </c>
      <c r="F1" s="4" t="s">
        <v>7</v>
      </c>
      <c r="G1" s="4" t="s">
        <v>9</v>
      </c>
      <c r="H1" s="4" t="s">
        <v>8</v>
      </c>
      <c r="I1" s="4" t="s">
        <v>10</v>
      </c>
      <c r="J1" s="4" t="s">
        <v>46</v>
      </c>
      <c r="K1" s="4" t="s">
        <v>47</v>
      </c>
      <c r="L1" s="4" t="s">
        <v>48</v>
      </c>
      <c r="M1" s="4" t="s">
        <v>49</v>
      </c>
      <c r="N1" s="4" t="s">
        <v>50</v>
      </c>
      <c r="O1" s="4" t="s">
        <v>51</v>
      </c>
      <c r="P1" s="4" t="s">
        <v>52</v>
      </c>
      <c r="Q1" s="4" t="s">
        <v>53</v>
      </c>
    </row>
    <row r="2">
      <c r="A2" s="4" t="s">
        <v>11</v>
      </c>
      <c r="B2" s="4" t="s">
        <v>12</v>
      </c>
      <c r="C2" s="4" t="s">
        <v>13</v>
      </c>
      <c r="D2" s="4">
        <v>2023.0</v>
      </c>
      <c r="E2" s="4">
        <v>1.8</v>
      </c>
      <c r="F2" s="4">
        <v>100.0</v>
      </c>
      <c r="G2" s="4">
        <v>55.56</v>
      </c>
      <c r="H2" s="4">
        <v>1.0</v>
      </c>
      <c r="I2" s="4" t="s">
        <v>14</v>
      </c>
      <c r="J2" s="5" t="str">
        <f t="array" ref="J2">xlookup(A2,Batting!A:A,Batting!E:E,"")</f>
        <v/>
      </c>
      <c r="K2" s="5" t="str">
        <f t="array" ref="K2">xlookup(A2,Batting!A:A,Batting!F:F,"")</f>
        <v/>
      </c>
      <c r="L2" s="5" t="str">
        <f t="array" ref="L2">xlookup(A2,Batting!A:A,Batting!G:G,"")</f>
        <v/>
      </c>
      <c r="M2" s="5" t="str">
        <f t="array" ref="M2">xlookup(A2,Batting!A:A,Batting!H:H,"")</f>
        <v/>
      </c>
      <c r="N2" s="5">
        <f t="array" ref="N2">xlookup(A2,Bowling!A:A,Bowling!F:F,"")</f>
        <v>26</v>
      </c>
      <c r="O2" s="5">
        <f t="array" ref="O2">xlookup(A2,Bowling!A:A,Bowling!G:G,"")</f>
        <v>5.09</v>
      </c>
      <c r="P2" s="5">
        <f t="array" ref="P2">xlookup(A2,Bowling!A:A,Bowling!H:H,"")</f>
        <v>1.86</v>
      </c>
      <c r="Q2" s="5">
        <f t="array" ref="Q2">xlookup(A2,Bowling!A:A,Bowling!I:I,"")</f>
        <v>61.78</v>
      </c>
    </row>
    <row r="3">
      <c r="A3" s="4" t="s">
        <v>15</v>
      </c>
      <c r="B3" s="4" t="s">
        <v>12</v>
      </c>
      <c r="C3" s="4" t="s">
        <v>16</v>
      </c>
      <c r="D3" s="4">
        <v>2023.0</v>
      </c>
      <c r="E3" s="4">
        <v>2.0</v>
      </c>
      <c r="F3" s="4">
        <v>68.0</v>
      </c>
      <c r="G3" s="4">
        <v>34.0</v>
      </c>
      <c r="H3" s="4">
        <v>2.0</v>
      </c>
      <c r="I3" s="4" t="s">
        <v>14</v>
      </c>
      <c r="J3" s="5" t="str">
        <f t="array" ref="J3">xlookup(A3,Batting!A:A,Batting!E:E,"")</f>
        <v/>
      </c>
      <c r="K3" s="5" t="str">
        <f t="array" ref="K3">xlookup(A3,Batting!A:A,Batting!F:F,"")</f>
        <v/>
      </c>
      <c r="L3" s="5" t="str">
        <f t="array" ref="L3">xlookup(A3,Batting!A:A,Batting!G:G,"")</f>
        <v/>
      </c>
      <c r="M3" s="5" t="str">
        <f t="array" ref="M3">xlookup(A3,Batting!A:A,Batting!H:H,"")</f>
        <v/>
      </c>
      <c r="N3" s="5">
        <f t="array" ref="N3">xlookup(A3,Bowling!A:A,Bowling!F:F,"")</f>
        <v>25</v>
      </c>
      <c r="O3" s="5">
        <f t="array" ref="O3">xlookup(A3,Bowling!A:A,Bowling!G:G,"")</f>
        <v>5.69</v>
      </c>
      <c r="P3" s="5">
        <f t="array" ref="P3">xlookup(A3,Bowling!A:A,Bowling!H:H,"")</f>
        <v>1.79</v>
      </c>
      <c r="Q3" s="5">
        <f t="array" ref="Q3">xlookup(A3,Bowling!A:A,Bowling!I:I,"")</f>
        <v>60.34</v>
      </c>
    </row>
    <row r="4">
      <c r="A4" s="4" t="s">
        <v>17</v>
      </c>
      <c r="B4" s="4" t="s">
        <v>12</v>
      </c>
      <c r="C4" s="4" t="s">
        <v>18</v>
      </c>
      <c r="D4" s="4">
        <v>2023.0</v>
      </c>
      <c r="E4" s="4">
        <v>2.5</v>
      </c>
      <c r="F4" s="4">
        <v>60.0</v>
      </c>
      <c r="G4" s="4">
        <v>24.0</v>
      </c>
      <c r="H4" s="4">
        <v>3.0</v>
      </c>
      <c r="I4" s="4" t="s">
        <v>14</v>
      </c>
      <c r="J4" s="5" t="str">
        <f t="array" ref="J4">xlookup(A4,Batting!A:A,Batting!E:E,"")</f>
        <v/>
      </c>
      <c r="K4" s="5" t="str">
        <f t="array" ref="K4">xlookup(A4,Batting!A:A,Batting!F:F,"")</f>
        <v/>
      </c>
      <c r="L4" s="5" t="str">
        <f t="array" ref="L4">xlookup(A4,Batting!A:A,Batting!G:G,"")</f>
        <v/>
      </c>
      <c r="M4" s="5" t="str">
        <f t="array" ref="M4">xlookup(A4,Batting!A:A,Batting!H:H,"")</f>
        <v/>
      </c>
      <c r="N4" s="5">
        <f t="array" ref="N4">xlookup(A4,Bowling!A:A,Bowling!F:F,"")</f>
        <v>23</v>
      </c>
      <c r="O4" s="5">
        <f t="array" ref="O4">xlookup(A4,Bowling!A:A,Bowling!G:G,"")</f>
        <v>5.63</v>
      </c>
      <c r="P4" s="5">
        <f t="array" ref="P4">xlookup(A4,Bowling!A:A,Bowling!H:H,"")</f>
        <v>1.64</v>
      </c>
      <c r="Q4" s="5">
        <f t="array" ref="Q4">xlookup(A4,Bowling!A:A,Bowling!I:I,"")</f>
        <v>59.52</v>
      </c>
    </row>
    <row r="5">
      <c r="A5" s="4" t="s">
        <v>21</v>
      </c>
      <c r="B5" s="4" t="s">
        <v>20</v>
      </c>
      <c r="C5" s="4" t="s">
        <v>22</v>
      </c>
      <c r="D5" s="4">
        <v>2023.0</v>
      </c>
      <c r="E5" s="4">
        <v>4.0</v>
      </c>
      <c r="F5" s="4">
        <v>50.0</v>
      </c>
      <c r="G5" s="4">
        <v>12.5</v>
      </c>
      <c r="H5" s="4">
        <v>4.0</v>
      </c>
      <c r="I5" s="4" t="s">
        <v>14</v>
      </c>
      <c r="J5" s="5">
        <f t="array" ref="J5">xlookup(A5,Batting!A:A,Batting!E:E,"")</f>
        <v>390</v>
      </c>
      <c r="K5" s="5">
        <f t="array" ref="K5">xlookup(A5,Batting!A:A,Batting!F:F,"")</f>
        <v>30</v>
      </c>
      <c r="L5" s="5">
        <f t="array" ref="L5">xlookup(A5,Batting!A:A,Batting!G:G,"")</f>
        <v>125.81</v>
      </c>
      <c r="M5" s="5">
        <f t="array" ref="M5">xlookup(A5,Batting!A:A,Batting!H:H,"")</f>
        <v>55.38</v>
      </c>
      <c r="N5" s="5" t="str">
        <f t="array" ref="N5">xlookup(A5,Bowling!A:A,Bowling!F:F,"")</f>
        <v/>
      </c>
      <c r="O5" s="5" t="str">
        <f t="array" ref="O5">xlookup(A5,Bowling!A:A,Bowling!G:G,"")</f>
        <v/>
      </c>
      <c r="P5" s="5" t="str">
        <f t="array" ref="P5">xlookup(A5,Bowling!A:A,Bowling!H:H,"")</f>
        <v/>
      </c>
      <c r="Q5" s="5" t="str">
        <f t="array" ref="Q5">xlookup(A5,Bowling!A:A,Bowling!I:I,"")</f>
        <v/>
      </c>
    </row>
    <row r="6">
      <c r="A6" s="4" t="s">
        <v>23</v>
      </c>
      <c r="B6" s="4" t="s">
        <v>20</v>
      </c>
      <c r="C6" s="4" t="s">
        <v>24</v>
      </c>
      <c r="D6" s="4">
        <v>2023.0</v>
      </c>
      <c r="E6" s="4">
        <v>9.0</v>
      </c>
      <c r="F6" s="4">
        <v>100.0</v>
      </c>
      <c r="G6" s="4">
        <v>11.11</v>
      </c>
      <c r="H6" s="4">
        <v>1.0</v>
      </c>
      <c r="I6" s="4" t="s">
        <v>14</v>
      </c>
      <c r="J6" s="5">
        <f t="array" ref="J6">xlookup(A6,Batting!A:A,Batting!E:E,"")</f>
        <v>520</v>
      </c>
      <c r="K6" s="5">
        <f t="array" ref="K6">xlookup(A6,Batting!A:A,Batting!F:F,"")</f>
        <v>43.33</v>
      </c>
      <c r="L6" s="5">
        <f t="array" ref="L6">xlookup(A6,Batting!A:A,Batting!G:G,"")</f>
        <v>157.58</v>
      </c>
      <c r="M6" s="5">
        <f t="array" ref="M6">xlookup(A6,Batting!A:A,Batting!H:H,"")</f>
        <v>76.92</v>
      </c>
      <c r="N6" s="5" t="str">
        <f t="array" ref="N6">xlookup(A6,Bowling!A:A,Bowling!F:F,"")</f>
        <v/>
      </c>
      <c r="O6" s="5" t="str">
        <f t="array" ref="O6">xlookup(A6,Bowling!A:A,Bowling!G:G,"")</f>
        <v/>
      </c>
      <c r="P6" s="5" t="str">
        <f t="array" ref="P6">xlookup(A6,Bowling!A:A,Bowling!H:H,"")</f>
        <v/>
      </c>
      <c r="Q6" s="5" t="str">
        <f t="array" ref="Q6">xlookup(A6,Bowling!A:A,Bowling!I:I,"")</f>
        <v/>
      </c>
    </row>
    <row r="7">
      <c r="A7" s="4" t="s">
        <v>25</v>
      </c>
      <c r="B7" s="4" t="s">
        <v>20</v>
      </c>
      <c r="C7" s="4" t="s">
        <v>26</v>
      </c>
      <c r="D7" s="4">
        <v>2023.0</v>
      </c>
      <c r="E7" s="4">
        <v>8.0</v>
      </c>
      <c r="F7" s="4">
        <v>82.9</v>
      </c>
      <c r="G7" s="4">
        <v>10.36</v>
      </c>
      <c r="H7" s="4">
        <v>2.0</v>
      </c>
      <c r="I7" s="4" t="s">
        <v>14</v>
      </c>
      <c r="J7" s="5">
        <f t="array" ref="J7">xlookup(A7,Batting!A:A,Batting!E:E,"")</f>
        <v>430</v>
      </c>
      <c r="K7" s="5">
        <f t="array" ref="K7">xlookup(A7,Batting!A:A,Batting!F:F,"")</f>
        <v>33.08</v>
      </c>
      <c r="L7" s="5">
        <f t="array" ref="L7">xlookup(A7,Batting!A:A,Batting!G:G,"")</f>
        <v>126.47</v>
      </c>
      <c r="M7" s="5">
        <f t="array" ref="M7">xlookup(A7,Batting!A:A,Batting!H:H,"")</f>
        <v>59.53</v>
      </c>
      <c r="N7" s="5" t="str">
        <f t="array" ref="N7">xlookup(A7,Bowling!A:A,Bowling!F:F,"")</f>
        <v/>
      </c>
      <c r="O7" s="5" t="str">
        <f t="array" ref="O7">xlookup(A7,Bowling!A:A,Bowling!G:G,"")</f>
        <v/>
      </c>
      <c r="P7" s="5" t="str">
        <f t="array" ref="P7">xlookup(A7,Bowling!A:A,Bowling!H:H,"")</f>
        <v/>
      </c>
      <c r="Q7" s="5" t="str">
        <f t="array" ref="Q7">xlookup(A7,Bowling!A:A,Bowling!I:I,"")</f>
        <v/>
      </c>
    </row>
    <row r="8">
      <c r="A8" s="4" t="s">
        <v>19</v>
      </c>
      <c r="B8" s="4" t="s">
        <v>20</v>
      </c>
      <c r="C8" s="4" t="s">
        <v>16</v>
      </c>
      <c r="D8" s="4">
        <v>2023.0</v>
      </c>
      <c r="E8" s="4">
        <v>3.5</v>
      </c>
      <c r="F8" s="4">
        <v>28.6</v>
      </c>
      <c r="G8" s="4">
        <v>8.17</v>
      </c>
      <c r="H8" s="4">
        <v>6.0</v>
      </c>
      <c r="I8" s="4" t="s">
        <v>14</v>
      </c>
      <c r="J8" s="5">
        <f t="array" ref="J8">xlookup(A8,Batting!A:A,Batting!E:E,"")</f>
        <v>310</v>
      </c>
      <c r="K8" s="5">
        <f t="array" ref="K8">xlookup(A8,Batting!A:A,Batting!F:F,"")</f>
        <v>25.83</v>
      </c>
      <c r="L8" s="5">
        <f t="array" ref="L8">xlookup(A8,Batting!A:A,Batting!G:G,"")</f>
        <v>119.23</v>
      </c>
      <c r="M8" s="5">
        <f t="array" ref="M8">xlookup(A8,Batting!A:A,Batting!H:H,"")</f>
        <v>51.61</v>
      </c>
      <c r="N8" s="5" t="str">
        <f t="array" ref="N8">xlookup(A8,Bowling!A:A,Bowling!F:F,"")</f>
        <v/>
      </c>
      <c r="O8" s="5" t="str">
        <f t="array" ref="O8">xlookup(A8,Bowling!A:A,Bowling!G:G,"")</f>
        <v/>
      </c>
      <c r="P8" s="5" t="str">
        <f t="array" ref="P8">xlookup(A8,Bowling!A:A,Bowling!H:H,"")</f>
        <v/>
      </c>
      <c r="Q8" s="5" t="str">
        <f t="array" ref="Q8">xlookup(A8,Bowling!A:A,Bowling!I:I,"")</f>
        <v/>
      </c>
    </row>
    <row r="9">
      <c r="A9" s="4" t="s">
        <v>30</v>
      </c>
      <c r="B9" s="4" t="s">
        <v>20</v>
      </c>
      <c r="C9" s="4" t="s">
        <v>13</v>
      </c>
      <c r="D9" s="4">
        <v>2023.0</v>
      </c>
      <c r="E9" s="4">
        <v>6.0</v>
      </c>
      <c r="F9" s="4">
        <v>41.4</v>
      </c>
      <c r="G9" s="4">
        <v>6.9</v>
      </c>
      <c r="H9" s="4">
        <v>5.0</v>
      </c>
      <c r="I9" s="4" t="s">
        <v>29</v>
      </c>
      <c r="J9" s="5">
        <f t="array" ref="J9">xlookup(A9,Batting!A:A,Batting!E:E,"")</f>
        <v>360</v>
      </c>
      <c r="K9" s="5">
        <f t="array" ref="K9">xlookup(A9,Batting!A:A,Batting!F:F,"")</f>
        <v>27.69</v>
      </c>
      <c r="L9" s="5">
        <f t="array" ref="L9">xlookup(A9,Batting!A:A,Batting!G:G,"")</f>
        <v>124.14</v>
      </c>
      <c r="M9" s="5">
        <f t="array" ref="M9">xlookup(A9,Batting!A:A,Batting!H:H,"")</f>
        <v>50</v>
      </c>
      <c r="N9" s="5" t="str">
        <f t="array" ref="N9">xlookup(A9,Bowling!A:A,Bowling!F:F,"")</f>
        <v/>
      </c>
      <c r="O9" s="5" t="str">
        <f t="array" ref="O9">xlookup(A9,Bowling!A:A,Bowling!G:G,"")</f>
        <v/>
      </c>
      <c r="P9" s="5" t="str">
        <f t="array" ref="P9">xlookup(A9,Bowling!A:A,Bowling!H:H,"")</f>
        <v/>
      </c>
      <c r="Q9" s="5" t="str">
        <f t="array" ref="Q9">xlookup(A9,Bowling!A:A,Bowling!I:I,"")</f>
        <v/>
      </c>
    </row>
    <row r="10">
      <c r="A10" s="4" t="s">
        <v>37</v>
      </c>
      <c r="B10" s="4" t="s">
        <v>20</v>
      </c>
      <c r="C10" s="4" t="s">
        <v>24</v>
      </c>
      <c r="D10" s="4">
        <v>2023.0</v>
      </c>
      <c r="E10" s="4">
        <v>3.5</v>
      </c>
      <c r="F10" s="4">
        <v>22.9</v>
      </c>
      <c r="G10" s="4">
        <v>6.54</v>
      </c>
      <c r="H10" s="4">
        <v>7.0</v>
      </c>
      <c r="I10" s="4" t="s">
        <v>29</v>
      </c>
      <c r="J10" s="5">
        <f t="array" ref="J10">xlookup(A10,Batting!A:A,Batting!E:E,"")</f>
        <v>300</v>
      </c>
      <c r="K10" s="5">
        <f t="array" ref="K10">xlookup(A10,Batting!A:A,Batting!F:F,"")</f>
        <v>25</v>
      </c>
      <c r="L10" s="5">
        <f t="array" ref="L10">xlookup(A10,Batting!A:A,Batting!G:G,"")</f>
        <v>117.65</v>
      </c>
      <c r="M10" s="5">
        <f t="array" ref="M10">xlookup(A10,Batting!A:A,Batting!H:H,"")</f>
        <v>50</v>
      </c>
      <c r="N10" s="5" t="str">
        <f t="array" ref="N10">xlookup(A10,Bowling!A:A,Bowling!F:F,"")</f>
        <v/>
      </c>
      <c r="O10" s="5" t="str">
        <f t="array" ref="O10">xlookup(A10,Bowling!A:A,Bowling!G:G,"")</f>
        <v/>
      </c>
      <c r="P10" s="5" t="str">
        <f t="array" ref="P10">xlookup(A10,Bowling!A:A,Bowling!H:H,"")</f>
        <v/>
      </c>
      <c r="Q10" s="5" t="str">
        <f t="array" ref="Q10">xlookup(A10,Bowling!A:A,Bowling!I:I,"")</f>
        <v/>
      </c>
    </row>
    <row r="11">
      <c r="A11" s="4" t="s">
        <v>32</v>
      </c>
      <c r="B11" s="4" t="s">
        <v>12</v>
      </c>
      <c r="C11" s="4" t="s">
        <v>33</v>
      </c>
      <c r="D11" s="4">
        <v>2023.0</v>
      </c>
      <c r="E11" s="4">
        <v>7.5</v>
      </c>
      <c r="F11" s="4">
        <v>44.0</v>
      </c>
      <c r="G11" s="4">
        <v>5.87</v>
      </c>
      <c r="H11" s="4">
        <v>4.0</v>
      </c>
      <c r="I11" s="4" t="s">
        <v>34</v>
      </c>
      <c r="J11" s="5" t="str">
        <f t="array" ref="J11">xlookup(A11,Batting!A:A,Batting!E:E,"")</f>
        <v/>
      </c>
      <c r="K11" s="5" t="str">
        <f t="array" ref="K11">xlookup(A11,Batting!A:A,Batting!F:F,"")</f>
        <v/>
      </c>
      <c r="L11" s="5" t="str">
        <f t="array" ref="L11">xlookup(A11,Batting!A:A,Batting!G:G,"")</f>
        <v/>
      </c>
      <c r="M11" s="5" t="str">
        <f t="array" ref="M11">xlookup(A11,Batting!A:A,Batting!H:H,"")</f>
        <v/>
      </c>
      <c r="N11" s="5">
        <f t="array" ref="N11">xlookup(A11,Bowling!A:A,Bowling!F:F,"")</f>
        <v>20</v>
      </c>
      <c r="O11" s="5">
        <f t="array" ref="O11">xlookup(A11,Bowling!A:A,Bowling!G:G,"")</f>
        <v>5.38</v>
      </c>
      <c r="P11" s="5">
        <f t="array" ref="P11">xlookup(A11,Bowling!A:A,Bowling!H:H,"")</f>
        <v>1.43</v>
      </c>
      <c r="Q11" s="5">
        <f t="array" ref="Q11">xlookup(A11,Bowling!A:A,Bowling!I:I,"")</f>
        <v>56.09</v>
      </c>
    </row>
    <row r="12">
      <c r="A12" s="4" t="s">
        <v>31</v>
      </c>
      <c r="B12" s="4" t="s">
        <v>12</v>
      </c>
      <c r="C12" s="4" t="s">
        <v>22</v>
      </c>
      <c r="D12" s="4">
        <v>2023.0</v>
      </c>
      <c r="E12" s="4">
        <v>1.2</v>
      </c>
      <c r="F12" s="4">
        <v>6.0</v>
      </c>
      <c r="G12" s="4">
        <v>5.0</v>
      </c>
      <c r="H12" s="4">
        <v>6.0</v>
      </c>
      <c r="I12" s="4" t="s">
        <v>34</v>
      </c>
      <c r="J12" s="5" t="str">
        <f t="array" ref="J12">xlookup(A12,Batting!A:A,Batting!E:E,"")</f>
        <v/>
      </c>
      <c r="K12" s="5" t="str">
        <f t="array" ref="K12">xlookup(A12,Batting!A:A,Batting!F:F,"")</f>
        <v/>
      </c>
      <c r="L12" s="5" t="str">
        <f t="array" ref="L12">xlookup(A12,Batting!A:A,Batting!G:G,"")</f>
        <v/>
      </c>
      <c r="M12" s="5" t="str">
        <f t="array" ref="M12">xlookup(A12,Batting!A:A,Batting!H:H,"")</f>
        <v/>
      </c>
      <c r="N12" s="5">
        <f t="array" ref="N12">xlookup(A12,Bowling!A:A,Bowling!F:F,"")</f>
        <v>17</v>
      </c>
      <c r="O12" s="5">
        <f t="array" ref="O12">xlookup(A12,Bowling!A:A,Bowling!G:G,"")</f>
        <v>6.25</v>
      </c>
      <c r="P12" s="5">
        <f t="array" ref="P12">xlookup(A12,Bowling!A:A,Bowling!H:H,"")</f>
        <v>1.21</v>
      </c>
      <c r="Q12" s="5">
        <f t="array" ref="Q12">xlookup(A12,Bowling!A:A,Bowling!I:I,"")</f>
        <v>49.68</v>
      </c>
    </row>
    <row r="13">
      <c r="A13" s="4" t="s">
        <v>27</v>
      </c>
      <c r="B13" s="4" t="s">
        <v>28</v>
      </c>
      <c r="C13" s="4" t="s">
        <v>24</v>
      </c>
      <c r="D13" s="4">
        <v>2023.0</v>
      </c>
      <c r="E13" s="4">
        <v>12.0</v>
      </c>
      <c r="F13" s="4">
        <v>60.0</v>
      </c>
      <c r="G13" s="4">
        <v>5.0</v>
      </c>
      <c r="H13" s="4">
        <v>3.0</v>
      </c>
      <c r="I13" s="4" t="s">
        <v>34</v>
      </c>
      <c r="J13" s="5">
        <f t="array" ref="J13">xlookup(A13,Batting!A:A,Batting!E:E,"")</f>
        <v>290</v>
      </c>
      <c r="K13" s="5">
        <f t="array" ref="K13">xlookup(A13,Batting!A:A,Batting!F:F,"")</f>
        <v>22.31</v>
      </c>
      <c r="L13" s="5">
        <f t="array" ref="L13">xlookup(A13,Batting!A:A,Batting!G:G,"")</f>
        <v>126.09</v>
      </c>
      <c r="M13" s="5">
        <f t="array" ref="M13">xlookup(A13,Batting!A:A,Batting!H:H,"")</f>
        <v>57.24</v>
      </c>
      <c r="N13" s="5">
        <f t="array" ref="N13">xlookup(A13,Bowling!A:A,Bowling!F:F,"")</f>
        <v>13</v>
      </c>
      <c r="O13" s="5">
        <f t="array" ref="O13">xlookup(A13,Bowling!A:A,Bowling!G:G,"")</f>
        <v>6.5</v>
      </c>
      <c r="P13" s="5">
        <f t="array" ref="P13">xlookup(A13,Bowling!A:A,Bowling!H:H,"")</f>
        <v>0.93</v>
      </c>
      <c r="Q13" s="5">
        <f t="array" ref="Q13">xlookup(A13,Bowling!A:A,Bowling!I:I,"")</f>
        <v>42.67</v>
      </c>
    </row>
    <row r="14">
      <c r="A14" s="4" t="s">
        <v>38</v>
      </c>
      <c r="B14" s="4" t="s">
        <v>28</v>
      </c>
      <c r="C14" s="4" t="s">
        <v>26</v>
      </c>
      <c r="D14" s="4">
        <v>2023.0</v>
      </c>
      <c r="E14" s="4">
        <v>13.5</v>
      </c>
      <c r="F14" s="4">
        <v>64.0</v>
      </c>
      <c r="G14" s="4">
        <v>4.74</v>
      </c>
      <c r="H14" s="4">
        <v>2.0</v>
      </c>
      <c r="I14" s="4" t="s">
        <v>34</v>
      </c>
      <c r="J14" s="5">
        <f t="array" ref="J14">xlookup(A14,Batting!A:A,Batting!E:E,"")</f>
        <v>280</v>
      </c>
      <c r="K14" s="5">
        <f t="array" ref="K14">xlookup(A14,Batting!A:A,Batting!F:F,"")</f>
        <v>20</v>
      </c>
      <c r="L14" s="5">
        <f t="array" ref="L14">xlookup(A14,Batting!A:A,Batting!G:G,"")</f>
        <v>127.27</v>
      </c>
      <c r="M14" s="5">
        <f t="array" ref="M14">xlookup(A14,Batting!A:A,Batting!H:H,"")</f>
        <v>55.71</v>
      </c>
      <c r="N14" s="5">
        <f t="array" ref="N14">xlookup(A14,Bowling!A:A,Bowling!F:F,"")</f>
        <v>12</v>
      </c>
      <c r="O14" s="5">
        <f t="array" ref="O14">xlookup(A14,Bowling!A:A,Bowling!G:G,"")</f>
        <v>6.46</v>
      </c>
      <c r="P14" s="5">
        <f t="array" ref="P14">xlookup(A14,Bowling!A:A,Bowling!H:H,"")</f>
        <v>0.86</v>
      </c>
      <c r="Q14" s="5">
        <f t="array" ref="Q14">xlookup(A14,Bowling!A:A,Bowling!I:I,"")</f>
        <v>43.4</v>
      </c>
    </row>
    <row r="15">
      <c r="A15" s="4" t="s">
        <v>39</v>
      </c>
      <c r="B15" s="4" t="s">
        <v>28</v>
      </c>
      <c r="C15" s="4" t="s">
        <v>33</v>
      </c>
      <c r="D15" s="4">
        <v>2023.0</v>
      </c>
      <c r="E15" s="4">
        <v>10.0</v>
      </c>
      <c r="F15" s="4">
        <v>46.0</v>
      </c>
      <c r="G15" s="4">
        <v>4.6</v>
      </c>
      <c r="H15" s="4">
        <v>4.0</v>
      </c>
      <c r="I15" s="4" t="s">
        <v>34</v>
      </c>
      <c r="J15" s="5">
        <f t="array" ref="J15">xlookup(A15,Batting!A:A,Batting!E:E,"")</f>
        <v>260</v>
      </c>
      <c r="K15" s="5">
        <f t="array" ref="K15">xlookup(A15,Batting!A:A,Batting!F:F,"")</f>
        <v>20</v>
      </c>
      <c r="L15" s="5">
        <f t="array" ref="L15">xlookup(A15,Batting!A:A,Batting!G:G,"")</f>
        <v>123.81</v>
      </c>
      <c r="M15" s="5">
        <f t="array" ref="M15">xlookup(A15,Batting!A:A,Batting!H:H,"")</f>
        <v>56.92</v>
      </c>
      <c r="N15" s="5">
        <f t="array" ref="N15">xlookup(A15,Bowling!A:A,Bowling!F:F,"")</f>
        <v>11</v>
      </c>
      <c r="O15" s="5">
        <f t="array" ref="O15">xlookup(A15,Bowling!A:A,Bowling!G:G,"")</f>
        <v>6.41</v>
      </c>
      <c r="P15" s="5">
        <f t="array" ref="P15">xlookup(A15,Bowling!A:A,Bowling!H:H,"")</f>
        <v>0.79</v>
      </c>
      <c r="Q15" s="5">
        <f t="array" ref="Q15">xlookup(A15,Bowling!A:A,Bowling!I:I,"")</f>
        <v>42.75</v>
      </c>
    </row>
    <row r="16">
      <c r="A16" s="4" t="s">
        <v>36</v>
      </c>
      <c r="B16" s="4" t="s">
        <v>28</v>
      </c>
      <c r="C16" s="4" t="s">
        <v>18</v>
      </c>
      <c r="D16" s="4">
        <v>2023.0</v>
      </c>
      <c r="E16" s="4">
        <v>17.0</v>
      </c>
      <c r="F16" s="4">
        <v>77.0</v>
      </c>
      <c r="G16" s="4">
        <v>4.53</v>
      </c>
      <c r="H16" s="4">
        <v>1.0</v>
      </c>
      <c r="I16" s="4" t="s">
        <v>34</v>
      </c>
      <c r="J16" s="5">
        <f t="array" ref="J16">xlookup(A16,Batting!A:A,Batting!E:E,"")</f>
        <v>310</v>
      </c>
      <c r="K16" s="5">
        <f t="array" ref="K16">xlookup(A16,Batting!A:A,Batting!F:F,"")</f>
        <v>22.14</v>
      </c>
      <c r="L16" s="5">
        <f t="array" ref="L16">xlookup(A16,Batting!A:A,Batting!G:G,"")</f>
        <v>129.17</v>
      </c>
      <c r="M16" s="5">
        <f t="array" ref="M16">xlookup(A16,Batting!A:A,Batting!H:H,"")</f>
        <v>63.23</v>
      </c>
      <c r="N16" s="5">
        <f t="array" ref="N16">xlookup(A16,Bowling!A:A,Bowling!F:F,"")</f>
        <v>14</v>
      </c>
      <c r="O16" s="5">
        <f t="array" ref="O16">xlookup(A16,Bowling!A:A,Bowling!G:G,"")</f>
        <v>6.73</v>
      </c>
      <c r="P16" s="5">
        <f t="array" ref="P16">xlookup(A16,Bowling!A:A,Bowling!H:H,"")</f>
        <v>1</v>
      </c>
      <c r="Q16" s="5">
        <f t="array" ref="Q16">xlookup(A16,Bowling!A:A,Bowling!I:I,"")</f>
        <v>43.27</v>
      </c>
    </row>
    <row r="17">
      <c r="A17" s="4" t="s">
        <v>35</v>
      </c>
      <c r="B17" s="4" t="s">
        <v>20</v>
      </c>
      <c r="C17" s="4" t="s">
        <v>22</v>
      </c>
      <c r="D17" s="4">
        <v>2023.0</v>
      </c>
      <c r="E17" s="4">
        <v>16.5</v>
      </c>
      <c r="F17" s="4">
        <v>74.3</v>
      </c>
      <c r="G17" s="4">
        <v>4.5</v>
      </c>
      <c r="H17" s="4">
        <v>3.0</v>
      </c>
      <c r="I17" s="4" t="s">
        <v>34</v>
      </c>
      <c r="J17" s="5">
        <f t="array" ref="J17">xlookup(A17,Batting!A:A,Batting!E:E,"")</f>
        <v>480</v>
      </c>
      <c r="K17" s="5">
        <f t="array" ref="K17">xlookup(A17,Batting!A:A,Batting!F:F,"")</f>
        <v>34.29</v>
      </c>
      <c r="L17" s="5">
        <f t="array" ref="L17">xlookup(A17,Batting!A:A,Batting!G:G,"")</f>
        <v>126.32</v>
      </c>
      <c r="M17" s="5">
        <f t="array" ref="M17">xlookup(A17,Batting!A:A,Batting!H:H,"")</f>
        <v>57.5</v>
      </c>
      <c r="N17" s="5" t="str">
        <f t="array" ref="N17">xlookup(A17,Bowling!A:A,Bowling!F:F,"")</f>
        <v/>
      </c>
      <c r="O17" s="5" t="str">
        <f t="array" ref="O17">xlookup(A17,Bowling!A:A,Bowling!G:G,"")</f>
        <v/>
      </c>
      <c r="P17" s="5" t="str">
        <f t="array" ref="P17">xlookup(A17,Bowling!A:A,Bowling!H:H,"")</f>
        <v/>
      </c>
      <c r="Q17" s="5" t="str">
        <f t="array" ref="Q17">xlookup(A17,Bowling!A:A,Bowling!I:I,"")</f>
        <v/>
      </c>
    </row>
    <row r="18">
      <c r="A18" s="4" t="s">
        <v>40</v>
      </c>
      <c r="B18" s="4" t="s">
        <v>28</v>
      </c>
      <c r="C18" s="4" t="s">
        <v>22</v>
      </c>
      <c r="D18" s="4">
        <v>2023.0</v>
      </c>
      <c r="E18" s="4">
        <v>9.5</v>
      </c>
      <c r="F18" s="4">
        <v>33.0</v>
      </c>
      <c r="G18" s="4">
        <v>3.47</v>
      </c>
      <c r="H18" s="4">
        <v>5.0</v>
      </c>
      <c r="I18" s="4" t="s">
        <v>41</v>
      </c>
      <c r="J18" s="5">
        <f t="array" ref="J18">xlookup(A18,Batting!A:A,Batting!E:E,"")</f>
        <v>240</v>
      </c>
      <c r="K18" s="5">
        <f t="array" ref="K18">xlookup(A18,Batting!A:A,Batting!F:F,"")</f>
        <v>17.14</v>
      </c>
      <c r="L18" s="5">
        <f t="array" ref="L18">xlookup(A18,Batting!A:A,Batting!G:G,"")</f>
        <v>120</v>
      </c>
      <c r="M18" s="5">
        <f t="array" ref="M18">xlookup(A18,Batting!A:A,Batting!H:H,"")</f>
        <v>55.83</v>
      </c>
      <c r="N18" s="5">
        <f t="array" ref="N18">xlookup(A18,Bowling!A:A,Bowling!F:F,"")</f>
        <v>11</v>
      </c>
      <c r="O18" s="5">
        <f t="array" ref="O18">xlookup(A18,Bowling!A:A,Bowling!G:G,"")</f>
        <v>6.2</v>
      </c>
      <c r="P18" s="5">
        <f t="array" ref="P18">xlookup(A18,Bowling!A:A,Bowling!H:H,"")</f>
        <v>0.79</v>
      </c>
      <c r="Q18" s="5">
        <f t="array" ref="Q18">xlookup(A18,Bowling!A:A,Bowling!I:I,"")</f>
        <v>40.58</v>
      </c>
    </row>
    <row r="19">
      <c r="A19" s="4" t="s">
        <v>42</v>
      </c>
      <c r="B19" s="4" t="s">
        <v>12</v>
      </c>
      <c r="C19" s="4" t="s">
        <v>33</v>
      </c>
      <c r="D19" s="4">
        <v>2023.0</v>
      </c>
      <c r="E19" s="4">
        <v>6.5</v>
      </c>
      <c r="F19" s="4">
        <v>22.0</v>
      </c>
      <c r="G19" s="4">
        <v>3.38</v>
      </c>
      <c r="H19" s="4">
        <v>5.0</v>
      </c>
      <c r="I19" s="4" t="s">
        <v>41</v>
      </c>
      <c r="J19" s="5" t="str">
        <f t="array" ref="J19">xlookup(A19,Batting!A:A,Batting!E:E,"")</f>
        <v/>
      </c>
      <c r="K19" s="5" t="str">
        <f t="array" ref="K19">xlookup(A19,Batting!A:A,Batting!F:F,"")</f>
        <v/>
      </c>
      <c r="L19" s="5" t="str">
        <f t="array" ref="L19">xlookup(A19,Batting!A:A,Batting!G:G,"")</f>
        <v/>
      </c>
      <c r="M19" s="5" t="str">
        <f t="array" ref="M19">xlookup(A19,Batting!A:A,Batting!H:H,"")</f>
        <v/>
      </c>
      <c r="N19" s="5">
        <f t="array" ref="N19">xlookup(A19,Bowling!A:A,Bowling!F:F,"")</f>
        <v>21</v>
      </c>
      <c r="O19" s="5">
        <f t="array" ref="O19">xlookup(A19,Bowling!A:A,Bowling!G:G,"")</f>
        <v>5.92</v>
      </c>
      <c r="P19" s="5">
        <f t="array" ref="P19">xlookup(A19,Bowling!A:A,Bowling!H:H,"")</f>
        <v>1.5</v>
      </c>
      <c r="Q19" s="5">
        <f t="array" ref="Q19">xlookup(A19,Bowling!A:A,Bowling!I:I,"")</f>
        <v>48.61</v>
      </c>
    </row>
    <row r="20">
      <c r="A20" s="4" t="s">
        <v>43</v>
      </c>
      <c r="B20" s="4" t="s">
        <v>28</v>
      </c>
      <c r="C20" s="4" t="s">
        <v>16</v>
      </c>
      <c r="D20" s="4">
        <v>2023.0</v>
      </c>
      <c r="E20" s="4">
        <v>11.0</v>
      </c>
      <c r="F20" s="4">
        <v>16.0</v>
      </c>
      <c r="G20" s="4">
        <v>1.45</v>
      </c>
      <c r="H20" s="4">
        <v>6.0</v>
      </c>
      <c r="I20" s="4" t="s">
        <v>44</v>
      </c>
      <c r="J20" s="5">
        <f t="array" ref="J20">xlookup(A20,Batting!A:A,Batting!E:E,"")</f>
        <v>200</v>
      </c>
      <c r="K20" s="5">
        <f t="array" ref="K20">xlookup(A20,Batting!A:A,Batting!F:F,"")</f>
        <v>15.38</v>
      </c>
      <c r="L20" s="5">
        <f t="array" ref="L20">xlookup(A20,Batting!A:A,Batting!G:G,"")</f>
        <v>117.65</v>
      </c>
      <c r="M20" s="5">
        <f t="array" ref="M20">xlookup(A20,Batting!A:A,Batting!H:H,"")</f>
        <v>57</v>
      </c>
      <c r="N20" s="5">
        <f t="array" ref="N20">xlookup(A20,Bowling!A:A,Bowling!F:F,"")</f>
        <v>10</v>
      </c>
      <c r="O20" s="5">
        <f t="array" ref="O20">xlookup(A20,Bowling!A:A,Bowling!G:G,"")</f>
        <v>6.55</v>
      </c>
      <c r="P20" s="5">
        <f t="array" ref="P20">xlookup(A20,Bowling!A:A,Bowling!H:H,"")</f>
        <v>0.71</v>
      </c>
      <c r="Q20" s="5">
        <f t="array" ref="Q20">xlookup(A20,Bowling!A:A,Bowling!I:I,"")</f>
        <v>42.86</v>
      </c>
    </row>
    <row r="21">
      <c r="A21" s="4" t="s">
        <v>45</v>
      </c>
      <c r="B21" s="4" t="s">
        <v>20</v>
      </c>
      <c r="C21" s="4" t="s">
        <v>18</v>
      </c>
      <c r="D21" s="4">
        <v>2023.0</v>
      </c>
      <c r="E21" s="4">
        <v>4.0</v>
      </c>
      <c r="F21" s="4">
        <v>0.0</v>
      </c>
      <c r="G21" s="4">
        <v>0.0</v>
      </c>
      <c r="H21" s="4">
        <v>8.0</v>
      </c>
      <c r="I21" s="4" t="s">
        <v>44</v>
      </c>
      <c r="J21" s="5">
        <f t="array" ref="J21">xlookup(A21,Batting!A:A,Batting!E:E,"")</f>
        <v>280</v>
      </c>
      <c r="K21" s="5">
        <f t="array" ref="K21">xlookup(A21,Batting!A:A,Batting!F:F,"")</f>
        <v>23.33</v>
      </c>
      <c r="L21" s="5">
        <f t="array" ref="L21">xlookup(A21,Batting!A:A,Batting!G:G,"")</f>
        <v>116.67</v>
      </c>
      <c r="M21" s="5">
        <f t="array" ref="M21">xlookup(A21,Batting!A:A,Batting!H:H,"")</f>
        <v>48.57</v>
      </c>
      <c r="N21" s="5" t="str">
        <f t="array" ref="N21">xlookup(A21,Bowling!A:A,Bowling!F:F,"")</f>
        <v/>
      </c>
      <c r="O21" s="5" t="str">
        <f t="array" ref="O21">xlookup(A21,Bowling!A:A,Bowling!G:G,"")</f>
        <v/>
      </c>
      <c r="P21" s="5" t="str">
        <f t="array" ref="P21">xlookup(A21,Bowling!A:A,Bowling!H:H,"")</f>
        <v/>
      </c>
      <c r="Q21" s="5" t="str">
        <f t="array" ref="Q21">xlookup(A21,Bowling!A:A,Bowling!I:I,"")</f>
        <v/>
      </c>
    </row>
  </sheetData>
  <customSheetViews>
    <customSheetView guid="{70944590-CD69-4157-833B-543467CEC00B}" filter="1" showAutoFilter="1">
      <autoFilter ref="$A$1:$Q$21"/>
    </customSheetView>
    <customSheetView guid="{70944590-CD69-4157-833B-543467CEC00B}" filter="1" showAutoFilter="1">
      <autoFilter ref="$A$1:$Q$21"/>
    </customSheetView>
    <customSheetView guid="{70944590-CD69-4157-833B-543467CEC00B}" filter="1" showAutoFilter="1">
      <autoFilter ref="$A$1:$Q$21"/>
    </customSheetView>
  </customSheetView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sheetData>
  <drawing r:id="rId2"/>
  <extLst>
    <ext uri="{3A4CF648-6AED-40f4-86FF-DC5316D8AED3}">
      <x14:slicerList>
        <x14:slicer r:id="rId3"/>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6" t="s">
        <v>58</v>
      </c>
      <c r="Q1" s="7"/>
      <c r="R1" s="7"/>
      <c r="S1" s="8"/>
      <c r="T1" s="8"/>
      <c r="U1" s="8"/>
      <c r="V1" s="8"/>
      <c r="W1" s="8"/>
      <c r="X1" s="8"/>
      <c r="Y1" s="8"/>
      <c r="Z1" s="8"/>
    </row>
    <row r="2">
      <c r="Q2" s="7"/>
      <c r="R2" s="7"/>
      <c r="S2" s="8"/>
      <c r="T2" s="8"/>
      <c r="U2" s="8"/>
      <c r="V2" s="8"/>
      <c r="W2" s="8"/>
      <c r="X2" s="8"/>
      <c r="Y2" s="8"/>
      <c r="Z2" s="8"/>
    </row>
    <row r="3">
      <c r="Q3" s="7"/>
      <c r="R3" s="8"/>
      <c r="S3" s="8"/>
      <c r="T3" s="8"/>
      <c r="U3" s="8"/>
      <c r="V3" s="8"/>
      <c r="W3" s="8"/>
      <c r="X3" s="8"/>
      <c r="Y3" s="8"/>
      <c r="Z3" s="8"/>
    </row>
    <row r="4">
      <c r="Q4" s="7"/>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
    <mergeCell ref="A1:P4"/>
  </mergeCells>
  <drawing r:id="rId1"/>
  <extLst>
    <ext uri="{3A4CF648-6AED-40f4-86FF-DC5316D8AED3}">
      <x14:slicerList>
        <x14:slicer r:id="rId2"/>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tr">
        <f t="array" ref="A1:Q41">{'2022_Stats'!A1:Q21; '2023_Stats'!A2:Q21}</f>
        <v>player_name</v>
      </c>
      <c r="B1" s="5" t="s">
        <v>3</v>
      </c>
      <c r="C1" s="5" t="s">
        <v>4</v>
      </c>
      <c r="D1" s="5" t="s">
        <v>5</v>
      </c>
      <c r="E1" s="5" t="s">
        <v>6</v>
      </c>
      <c r="F1" s="5" t="s">
        <v>7</v>
      </c>
      <c r="G1" s="5" t="s">
        <v>9</v>
      </c>
      <c r="H1" s="5" t="s">
        <v>8</v>
      </c>
      <c r="I1" s="5" t="s">
        <v>10</v>
      </c>
      <c r="J1" s="5" t="s">
        <v>46</v>
      </c>
      <c r="K1" s="5" t="s">
        <v>47</v>
      </c>
      <c r="L1" s="5" t="s">
        <v>48</v>
      </c>
      <c r="M1" s="5" t="s">
        <v>49</v>
      </c>
      <c r="N1" s="5" t="s">
        <v>50</v>
      </c>
      <c r="O1" s="5" t="s">
        <v>51</v>
      </c>
      <c r="P1" s="5" t="s">
        <v>52</v>
      </c>
      <c r="Q1" s="5" t="s">
        <v>53</v>
      </c>
    </row>
    <row r="2">
      <c r="A2" s="5" t="s">
        <v>11</v>
      </c>
      <c r="B2" s="5" t="s">
        <v>12</v>
      </c>
      <c r="C2" s="5" t="s">
        <v>13</v>
      </c>
      <c r="D2" s="5">
        <v>2022.0</v>
      </c>
      <c r="E2" s="5">
        <v>1.5</v>
      </c>
      <c r="F2" s="5">
        <v>100.0</v>
      </c>
      <c r="G2" s="5">
        <v>66.67</v>
      </c>
      <c r="H2" s="5">
        <v>1.0</v>
      </c>
      <c r="I2" s="5" t="s">
        <v>14</v>
      </c>
      <c r="J2" s="5" t="s">
        <v>59</v>
      </c>
      <c r="K2" s="5" t="s">
        <v>59</v>
      </c>
      <c r="L2" s="5" t="s">
        <v>59</v>
      </c>
      <c r="M2" s="5" t="s">
        <v>59</v>
      </c>
      <c r="N2" s="5">
        <v>26.0</v>
      </c>
      <c r="O2" s="5">
        <v>5.09</v>
      </c>
      <c r="P2" s="5">
        <v>1.86</v>
      </c>
      <c r="Q2" s="5">
        <v>61.78</v>
      </c>
    </row>
    <row r="3">
      <c r="A3" s="5" t="s">
        <v>15</v>
      </c>
      <c r="B3" s="5" t="s">
        <v>12</v>
      </c>
      <c r="C3" s="5" t="s">
        <v>16</v>
      </c>
      <c r="D3" s="5">
        <v>2022.0</v>
      </c>
      <c r="E3" s="5">
        <v>1.2</v>
      </c>
      <c r="F3" s="5">
        <v>62.0</v>
      </c>
      <c r="G3" s="5">
        <v>51.67</v>
      </c>
      <c r="H3" s="5">
        <v>3.0</v>
      </c>
      <c r="I3" s="5" t="s">
        <v>14</v>
      </c>
      <c r="J3" s="5" t="s">
        <v>59</v>
      </c>
      <c r="K3" s="5" t="s">
        <v>59</v>
      </c>
      <c r="L3" s="5" t="s">
        <v>59</v>
      </c>
      <c r="M3" s="5" t="s">
        <v>59</v>
      </c>
      <c r="N3" s="5">
        <v>25.0</v>
      </c>
      <c r="O3" s="5">
        <v>5.69</v>
      </c>
      <c r="P3" s="5">
        <v>1.79</v>
      </c>
      <c r="Q3" s="5">
        <v>60.34</v>
      </c>
    </row>
    <row r="4">
      <c r="A4" s="5" t="s">
        <v>17</v>
      </c>
      <c r="B4" s="5" t="s">
        <v>12</v>
      </c>
      <c r="C4" s="5" t="s">
        <v>18</v>
      </c>
      <c r="D4" s="5">
        <v>2022.0</v>
      </c>
      <c r="E4" s="5">
        <v>1.8</v>
      </c>
      <c r="F4" s="5">
        <v>66.0</v>
      </c>
      <c r="G4" s="5">
        <v>36.67</v>
      </c>
      <c r="H4" s="5">
        <v>2.0</v>
      </c>
      <c r="I4" s="5" t="s">
        <v>14</v>
      </c>
      <c r="J4" s="5" t="s">
        <v>59</v>
      </c>
      <c r="K4" s="5" t="s">
        <v>59</v>
      </c>
      <c r="L4" s="5" t="s">
        <v>59</v>
      </c>
      <c r="M4" s="5" t="s">
        <v>59</v>
      </c>
      <c r="N4" s="5">
        <v>23.0</v>
      </c>
      <c r="O4" s="5">
        <v>5.63</v>
      </c>
      <c r="P4" s="5">
        <v>1.64</v>
      </c>
      <c r="Q4" s="5">
        <v>59.52</v>
      </c>
    </row>
    <row r="5">
      <c r="A5" s="5" t="s">
        <v>19</v>
      </c>
      <c r="B5" s="5" t="s">
        <v>20</v>
      </c>
      <c r="C5" s="5" t="s">
        <v>16</v>
      </c>
      <c r="D5" s="5">
        <v>2022.0</v>
      </c>
      <c r="E5" s="5">
        <v>2.0</v>
      </c>
      <c r="F5" s="5">
        <v>32.9</v>
      </c>
      <c r="G5" s="5">
        <v>16.45</v>
      </c>
      <c r="H5" s="5">
        <v>6.0</v>
      </c>
      <c r="I5" s="5" t="s">
        <v>14</v>
      </c>
      <c r="J5" s="5">
        <v>310.0</v>
      </c>
      <c r="K5" s="5">
        <v>25.83</v>
      </c>
      <c r="L5" s="5">
        <v>119.23</v>
      </c>
      <c r="M5" s="5">
        <v>51.61</v>
      </c>
      <c r="N5" s="5" t="s">
        <v>59</v>
      </c>
      <c r="O5" s="5" t="s">
        <v>59</v>
      </c>
      <c r="P5" s="5" t="s">
        <v>59</v>
      </c>
      <c r="Q5" s="5" t="s">
        <v>59</v>
      </c>
    </row>
    <row r="6">
      <c r="A6" s="5" t="s">
        <v>21</v>
      </c>
      <c r="B6" s="5" t="s">
        <v>20</v>
      </c>
      <c r="C6" s="5" t="s">
        <v>22</v>
      </c>
      <c r="D6" s="5">
        <v>2022.0</v>
      </c>
      <c r="E6" s="5">
        <v>3.5</v>
      </c>
      <c r="F6" s="5">
        <v>57.1</v>
      </c>
      <c r="G6" s="5">
        <v>16.31</v>
      </c>
      <c r="H6" s="5">
        <v>4.0</v>
      </c>
      <c r="I6" s="5" t="s">
        <v>14</v>
      </c>
      <c r="J6" s="5">
        <v>390.0</v>
      </c>
      <c r="K6" s="5">
        <v>30.0</v>
      </c>
      <c r="L6" s="5">
        <v>125.81</v>
      </c>
      <c r="M6" s="5">
        <v>55.38</v>
      </c>
      <c r="N6" s="5" t="s">
        <v>59</v>
      </c>
      <c r="O6" s="5" t="s">
        <v>59</v>
      </c>
      <c r="P6" s="5" t="s">
        <v>59</v>
      </c>
      <c r="Q6" s="5" t="s">
        <v>59</v>
      </c>
    </row>
    <row r="7">
      <c r="A7" s="5" t="s">
        <v>23</v>
      </c>
      <c r="B7" s="5" t="s">
        <v>20</v>
      </c>
      <c r="C7" s="5" t="s">
        <v>24</v>
      </c>
      <c r="D7" s="5">
        <v>2022.0</v>
      </c>
      <c r="E7" s="5">
        <v>6.5</v>
      </c>
      <c r="F7" s="5">
        <v>100.0</v>
      </c>
      <c r="G7" s="5">
        <v>15.38</v>
      </c>
      <c r="H7" s="5">
        <v>1.0</v>
      </c>
      <c r="I7" s="5" t="s">
        <v>14</v>
      </c>
      <c r="J7" s="5">
        <v>520.0</v>
      </c>
      <c r="K7" s="5">
        <v>43.33</v>
      </c>
      <c r="L7" s="5">
        <v>157.58</v>
      </c>
      <c r="M7" s="5">
        <v>76.92</v>
      </c>
      <c r="N7" s="5" t="s">
        <v>59</v>
      </c>
      <c r="O7" s="5" t="s">
        <v>59</v>
      </c>
      <c r="P7" s="5" t="s">
        <v>59</v>
      </c>
      <c r="Q7" s="5" t="s">
        <v>59</v>
      </c>
    </row>
    <row r="8">
      <c r="A8" s="5" t="s">
        <v>25</v>
      </c>
      <c r="B8" s="5" t="s">
        <v>20</v>
      </c>
      <c r="C8" s="5" t="s">
        <v>26</v>
      </c>
      <c r="D8" s="5">
        <v>2022.0</v>
      </c>
      <c r="E8" s="5">
        <v>7.0</v>
      </c>
      <c r="F8" s="5">
        <v>82.9</v>
      </c>
      <c r="G8" s="5">
        <v>11.84</v>
      </c>
      <c r="H8" s="5">
        <v>2.0</v>
      </c>
      <c r="I8" s="5" t="s">
        <v>14</v>
      </c>
      <c r="J8" s="5">
        <v>430.0</v>
      </c>
      <c r="K8" s="5">
        <v>33.08</v>
      </c>
      <c r="L8" s="5">
        <v>126.47</v>
      </c>
      <c r="M8" s="5">
        <v>59.53</v>
      </c>
      <c r="N8" s="5" t="s">
        <v>59</v>
      </c>
      <c r="O8" s="5" t="s">
        <v>59</v>
      </c>
      <c r="P8" s="5" t="s">
        <v>59</v>
      </c>
      <c r="Q8" s="5" t="s">
        <v>59</v>
      </c>
    </row>
    <row r="9">
      <c r="A9" s="5" t="s">
        <v>27</v>
      </c>
      <c r="B9" s="5" t="s">
        <v>28</v>
      </c>
      <c r="C9" s="5" t="s">
        <v>24</v>
      </c>
      <c r="D9" s="5">
        <v>2022.0</v>
      </c>
      <c r="E9" s="5">
        <v>10.0</v>
      </c>
      <c r="F9" s="5">
        <v>64.0</v>
      </c>
      <c r="G9" s="5">
        <v>6.4</v>
      </c>
      <c r="H9" s="5">
        <v>2.0</v>
      </c>
      <c r="I9" s="5" t="s">
        <v>29</v>
      </c>
      <c r="J9" s="5">
        <v>290.0</v>
      </c>
      <c r="K9" s="5">
        <v>22.31</v>
      </c>
      <c r="L9" s="5">
        <v>126.09</v>
      </c>
      <c r="M9" s="5">
        <v>57.24</v>
      </c>
      <c r="N9" s="5">
        <v>13.0</v>
      </c>
      <c r="O9" s="5">
        <v>6.5</v>
      </c>
      <c r="P9" s="5">
        <v>0.93</v>
      </c>
      <c r="Q9" s="5">
        <v>42.67</v>
      </c>
    </row>
    <row r="10">
      <c r="A10" s="5" t="s">
        <v>30</v>
      </c>
      <c r="B10" s="5" t="s">
        <v>20</v>
      </c>
      <c r="C10" s="5" t="s">
        <v>13</v>
      </c>
      <c r="D10" s="5">
        <v>2022.0</v>
      </c>
      <c r="E10" s="5">
        <v>5.5</v>
      </c>
      <c r="F10" s="5">
        <v>34.3</v>
      </c>
      <c r="G10" s="5">
        <v>6.24</v>
      </c>
      <c r="H10" s="5">
        <v>5.0</v>
      </c>
      <c r="I10" s="5" t="s">
        <v>29</v>
      </c>
      <c r="J10" s="5">
        <v>360.0</v>
      </c>
      <c r="K10" s="5">
        <v>27.69</v>
      </c>
      <c r="L10" s="5">
        <v>124.14</v>
      </c>
      <c r="M10" s="5">
        <v>50.0</v>
      </c>
      <c r="N10" s="5" t="s">
        <v>59</v>
      </c>
      <c r="O10" s="5" t="s">
        <v>59</v>
      </c>
      <c r="P10" s="5" t="s">
        <v>59</v>
      </c>
      <c r="Q10" s="5" t="s">
        <v>59</v>
      </c>
    </row>
    <row r="11">
      <c r="A11" s="5" t="s">
        <v>31</v>
      </c>
      <c r="B11" s="5" t="s">
        <v>12</v>
      </c>
      <c r="C11" s="5" t="s">
        <v>22</v>
      </c>
      <c r="D11" s="5">
        <v>2022.0</v>
      </c>
      <c r="E11" s="5">
        <v>1.0</v>
      </c>
      <c r="F11" s="5">
        <v>6.0</v>
      </c>
      <c r="G11" s="5">
        <v>6.0</v>
      </c>
      <c r="H11" s="5">
        <v>6.0</v>
      </c>
      <c r="I11" s="5" t="s">
        <v>29</v>
      </c>
      <c r="J11" s="5" t="s">
        <v>59</v>
      </c>
      <c r="K11" s="5" t="s">
        <v>59</v>
      </c>
      <c r="L11" s="5" t="s">
        <v>59</v>
      </c>
      <c r="M11" s="5" t="s">
        <v>59</v>
      </c>
      <c r="N11" s="5">
        <v>17.0</v>
      </c>
      <c r="O11" s="5">
        <v>6.25</v>
      </c>
      <c r="P11" s="5">
        <v>1.21</v>
      </c>
      <c r="Q11" s="5">
        <v>49.68</v>
      </c>
    </row>
    <row r="12">
      <c r="A12" s="5" t="s">
        <v>32</v>
      </c>
      <c r="B12" s="5" t="s">
        <v>12</v>
      </c>
      <c r="C12" s="5" t="s">
        <v>33</v>
      </c>
      <c r="D12" s="5">
        <v>2022.0</v>
      </c>
      <c r="E12" s="5">
        <v>9.0</v>
      </c>
      <c r="F12" s="5">
        <v>52.0</v>
      </c>
      <c r="G12" s="5">
        <v>5.78</v>
      </c>
      <c r="H12" s="5">
        <v>4.0</v>
      </c>
      <c r="I12" s="5" t="s">
        <v>34</v>
      </c>
      <c r="J12" s="5" t="s">
        <v>59</v>
      </c>
      <c r="K12" s="5" t="s">
        <v>59</v>
      </c>
      <c r="L12" s="5" t="s">
        <v>59</v>
      </c>
      <c r="M12" s="5" t="s">
        <v>59</v>
      </c>
      <c r="N12" s="5">
        <v>20.0</v>
      </c>
      <c r="O12" s="5">
        <v>5.38</v>
      </c>
      <c r="P12" s="5">
        <v>1.43</v>
      </c>
      <c r="Q12" s="5">
        <v>56.09</v>
      </c>
    </row>
    <row r="13">
      <c r="A13" s="5" t="s">
        <v>35</v>
      </c>
      <c r="B13" s="5" t="s">
        <v>20</v>
      </c>
      <c r="C13" s="5" t="s">
        <v>22</v>
      </c>
      <c r="D13" s="5">
        <v>2022.0</v>
      </c>
      <c r="E13" s="5">
        <v>14.0</v>
      </c>
      <c r="F13" s="5">
        <v>74.3</v>
      </c>
      <c r="G13" s="5">
        <v>5.31</v>
      </c>
      <c r="H13" s="5">
        <v>3.0</v>
      </c>
      <c r="I13" s="5" t="s">
        <v>34</v>
      </c>
      <c r="J13" s="5">
        <v>480.0</v>
      </c>
      <c r="K13" s="5">
        <v>34.29</v>
      </c>
      <c r="L13" s="5">
        <v>126.32</v>
      </c>
      <c r="M13" s="5">
        <v>57.5</v>
      </c>
      <c r="N13" s="5" t="s">
        <v>59</v>
      </c>
      <c r="O13" s="5" t="s">
        <v>59</v>
      </c>
      <c r="P13" s="5" t="s">
        <v>59</v>
      </c>
      <c r="Q13" s="5" t="s">
        <v>59</v>
      </c>
    </row>
    <row r="14">
      <c r="A14" s="5" t="s">
        <v>36</v>
      </c>
      <c r="B14" s="5" t="s">
        <v>28</v>
      </c>
      <c r="C14" s="5" t="s">
        <v>18</v>
      </c>
      <c r="D14" s="5">
        <v>2022.0</v>
      </c>
      <c r="E14" s="5">
        <v>15.25</v>
      </c>
      <c r="F14" s="5">
        <v>75.0</v>
      </c>
      <c r="G14" s="5">
        <v>4.92</v>
      </c>
      <c r="H14" s="5">
        <v>1.0</v>
      </c>
      <c r="I14" s="5" t="s">
        <v>34</v>
      </c>
      <c r="J14" s="5">
        <v>310.0</v>
      </c>
      <c r="K14" s="5">
        <v>22.14</v>
      </c>
      <c r="L14" s="5">
        <v>129.17</v>
      </c>
      <c r="M14" s="5">
        <v>63.23</v>
      </c>
      <c r="N14" s="5">
        <v>14.0</v>
      </c>
      <c r="O14" s="5">
        <v>6.73</v>
      </c>
      <c r="P14" s="5">
        <v>1.0</v>
      </c>
      <c r="Q14" s="5">
        <v>43.27</v>
      </c>
    </row>
    <row r="15">
      <c r="A15" s="5" t="s">
        <v>37</v>
      </c>
      <c r="B15" s="5" t="s">
        <v>20</v>
      </c>
      <c r="C15" s="5" t="s">
        <v>24</v>
      </c>
      <c r="D15" s="5">
        <v>2022.0</v>
      </c>
      <c r="E15" s="5">
        <v>3.0</v>
      </c>
      <c r="F15" s="5">
        <v>14.3</v>
      </c>
      <c r="G15" s="5">
        <v>4.77</v>
      </c>
      <c r="H15" s="5">
        <v>7.0</v>
      </c>
      <c r="I15" s="5" t="s">
        <v>34</v>
      </c>
      <c r="J15" s="5">
        <v>300.0</v>
      </c>
      <c r="K15" s="5">
        <v>25.0</v>
      </c>
      <c r="L15" s="5">
        <v>117.65</v>
      </c>
      <c r="M15" s="5">
        <v>50.0</v>
      </c>
      <c r="N15" s="5" t="s">
        <v>59</v>
      </c>
      <c r="O15" s="5" t="s">
        <v>59</v>
      </c>
      <c r="P15" s="5" t="s">
        <v>59</v>
      </c>
      <c r="Q15" s="5" t="s">
        <v>59</v>
      </c>
    </row>
    <row r="16">
      <c r="A16" s="5" t="s">
        <v>38</v>
      </c>
      <c r="B16" s="5" t="s">
        <v>28</v>
      </c>
      <c r="C16" s="5" t="s">
        <v>26</v>
      </c>
      <c r="D16" s="5">
        <v>2022.0</v>
      </c>
      <c r="E16" s="5">
        <v>11.0</v>
      </c>
      <c r="F16" s="5">
        <v>49.0</v>
      </c>
      <c r="G16" s="5">
        <v>4.45</v>
      </c>
      <c r="H16" s="5">
        <v>3.0</v>
      </c>
      <c r="I16" s="5" t="s">
        <v>34</v>
      </c>
      <c r="J16" s="5">
        <v>280.0</v>
      </c>
      <c r="K16" s="5">
        <v>20.0</v>
      </c>
      <c r="L16" s="5">
        <v>127.27</v>
      </c>
      <c r="M16" s="5">
        <v>55.71</v>
      </c>
      <c r="N16" s="5">
        <v>12.0</v>
      </c>
      <c r="O16" s="5">
        <v>6.46</v>
      </c>
      <c r="P16" s="5">
        <v>0.86</v>
      </c>
      <c r="Q16" s="5">
        <v>43.4</v>
      </c>
    </row>
    <row r="17">
      <c r="A17" s="5" t="s">
        <v>39</v>
      </c>
      <c r="B17" s="5" t="s">
        <v>28</v>
      </c>
      <c r="C17" s="5" t="s">
        <v>33</v>
      </c>
      <c r="D17" s="5">
        <v>2022.0</v>
      </c>
      <c r="E17" s="5">
        <v>8.5</v>
      </c>
      <c r="F17" s="5">
        <v>34.0</v>
      </c>
      <c r="G17" s="5">
        <v>4.0</v>
      </c>
      <c r="H17" s="5">
        <v>4.0</v>
      </c>
      <c r="I17" s="5" t="s">
        <v>34</v>
      </c>
      <c r="J17" s="5">
        <v>260.0</v>
      </c>
      <c r="K17" s="5">
        <v>20.0</v>
      </c>
      <c r="L17" s="5">
        <v>123.81</v>
      </c>
      <c r="M17" s="5">
        <v>56.92</v>
      </c>
      <c r="N17" s="5">
        <v>11.0</v>
      </c>
      <c r="O17" s="5">
        <v>6.41</v>
      </c>
      <c r="P17" s="5">
        <v>0.79</v>
      </c>
      <c r="Q17" s="5">
        <v>42.75</v>
      </c>
    </row>
    <row r="18">
      <c r="A18" s="5" t="s">
        <v>40</v>
      </c>
      <c r="B18" s="5" t="s">
        <v>28</v>
      </c>
      <c r="C18" s="5" t="s">
        <v>22</v>
      </c>
      <c r="D18" s="5">
        <v>2022.0</v>
      </c>
      <c r="E18" s="5">
        <v>8.0</v>
      </c>
      <c r="F18" s="5">
        <v>29.0</v>
      </c>
      <c r="G18" s="5">
        <v>3.62</v>
      </c>
      <c r="H18" s="5">
        <v>5.0</v>
      </c>
      <c r="I18" s="5" t="s">
        <v>41</v>
      </c>
      <c r="J18" s="5">
        <v>240.0</v>
      </c>
      <c r="K18" s="5">
        <v>17.14</v>
      </c>
      <c r="L18" s="5">
        <v>120.0</v>
      </c>
      <c r="M18" s="5">
        <v>55.83</v>
      </c>
      <c r="N18" s="5">
        <v>11.0</v>
      </c>
      <c r="O18" s="5">
        <v>6.2</v>
      </c>
      <c r="P18" s="5">
        <v>0.79</v>
      </c>
      <c r="Q18" s="5">
        <v>40.58</v>
      </c>
    </row>
    <row r="19">
      <c r="A19" s="5" t="s">
        <v>42</v>
      </c>
      <c r="B19" s="5" t="s">
        <v>12</v>
      </c>
      <c r="C19" s="5" t="s">
        <v>33</v>
      </c>
      <c r="D19" s="5">
        <v>2022.0</v>
      </c>
      <c r="E19" s="5">
        <v>4.5</v>
      </c>
      <c r="F19" s="5">
        <v>14.0</v>
      </c>
      <c r="G19" s="5">
        <v>3.11</v>
      </c>
      <c r="H19" s="5">
        <v>5.0</v>
      </c>
      <c r="I19" s="5" t="s">
        <v>41</v>
      </c>
      <c r="J19" s="5" t="s">
        <v>59</v>
      </c>
      <c r="K19" s="5" t="s">
        <v>59</v>
      </c>
      <c r="L19" s="5" t="s">
        <v>59</v>
      </c>
      <c r="M19" s="5" t="s">
        <v>59</v>
      </c>
      <c r="N19" s="5">
        <v>21.0</v>
      </c>
      <c r="O19" s="5">
        <v>5.92</v>
      </c>
      <c r="P19" s="5">
        <v>1.5</v>
      </c>
      <c r="Q19" s="5">
        <v>48.61</v>
      </c>
    </row>
    <row r="20">
      <c r="A20" s="5" t="s">
        <v>43</v>
      </c>
      <c r="B20" s="5" t="s">
        <v>28</v>
      </c>
      <c r="C20" s="5" t="s">
        <v>16</v>
      </c>
      <c r="D20" s="5">
        <v>2022.0</v>
      </c>
      <c r="E20" s="5">
        <v>9.0</v>
      </c>
      <c r="F20" s="5">
        <v>15.0</v>
      </c>
      <c r="G20" s="5">
        <v>1.67</v>
      </c>
      <c r="H20" s="5">
        <v>6.0</v>
      </c>
      <c r="I20" s="5" t="s">
        <v>44</v>
      </c>
      <c r="J20" s="5">
        <v>200.0</v>
      </c>
      <c r="K20" s="5">
        <v>15.38</v>
      </c>
      <c r="L20" s="5">
        <v>117.65</v>
      </c>
      <c r="M20" s="5">
        <v>57.0</v>
      </c>
      <c r="N20" s="5">
        <v>10.0</v>
      </c>
      <c r="O20" s="5">
        <v>6.55</v>
      </c>
      <c r="P20" s="5">
        <v>0.71</v>
      </c>
      <c r="Q20" s="5">
        <v>42.86</v>
      </c>
    </row>
    <row r="21">
      <c r="A21" s="5" t="s">
        <v>45</v>
      </c>
      <c r="B21" s="5" t="s">
        <v>20</v>
      </c>
      <c r="C21" s="5" t="s">
        <v>18</v>
      </c>
      <c r="D21" s="5">
        <v>2022.0</v>
      </c>
      <c r="E21" s="5">
        <v>2.5</v>
      </c>
      <c r="F21" s="5">
        <v>0.0</v>
      </c>
      <c r="G21" s="5">
        <v>0.0</v>
      </c>
      <c r="H21" s="5">
        <v>8.0</v>
      </c>
      <c r="I21" s="5" t="s">
        <v>44</v>
      </c>
      <c r="J21" s="5">
        <v>280.0</v>
      </c>
      <c r="K21" s="5">
        <v>23.33</v>
      </c>
      <c r="L21" s="5">
        <v>116.67</v>
      </c>
      <c r="M21" s="5">
        <v>48.57</v>
      </c>
      <c r="N21" s="5" t="s">
        <v>59</v>
      </c>
      <c r="O21" s="5" t="s">
        <v>59</v>
      </c>
      <c r="P21" s="5" t="s">
        <v>59</v>
      </c>
      <c r="Q21" s="5" t="s">
        <v>59</v>
      </c>
    </row>
    <row r="22">
      <c r="A22" s="5" t="s">
        <v>11</v>
      </c>
      <c r="B22" s="5" t="s">
        <v>12</v>
      </c>
      <c r="C22" s="5" t="s">
        <v>13</v>
      </c>
      <c r="D22" s="5">
        <v>2023.0</v>
      </c>
      <c r="E22" s="5">
        <v>1.8</v>
      </c>
      <c r="F22" s="5">
        <v>100.0</v>
      </c>
      <c r="G22" s="5">
        <v>55.56</v>
      </c>
      <c r="H22" s="5">
        <v>1.0</v>
      </c>
      <c r="I22" s="5" t="s">
        <v>14</v>
      </c>
      <c r="J22" s="5" t="s">
        <v>59</v>
      </c>
      <c r="K22" s="5" t="s">
        <v>59</v>
      </c>
      <c r="L22" s="5" t="s">
        <v>59</v>
      </c>
      <c r="M22" s="5" t="s">
        <v>59</v>
      </c>
      <c r="N22" s="5">
        <v>26.0</v>
      </c>
      <c r="O22" s="5">
        <v>5.09</v>
      </c>
      <c r="P22" s="5">
        <v>1.86</v>
      </c>
      <c r="Q22" s="5">
        <v>61.78</v>
      </c>
    </row>
    <row r="23">
      <c r="A23" s="5" t="s">
        <v>15</v>
      </c>
      <c r="B23" s="5" t="s">
        <v>12</v>
      </c>
      <c r="C23" s="5" t="s">
        <v>16</v>
      </c>
      <c r="D23" s="5">
        <v>2023.0</v>
      </c>
      <c r="E23" s="5">
        <v>2.0</v>
      </c>
      <c r="F23" s="5">
        <v>68.0</v>
      </c>
      <c r="G23" s="5">
        <v>34.0</v>
      </c>
      <c r="H23" s="5">
        <v>2.0</v>
      </c>
      <c r="I23" s="5" t="s">
        <v>14</v>
      </c>
      <c r="J23" s="5" t="s">
        <v>59</v>
      </c>
      <c r="K23" s="5" t="s">
        <v>59</v>
      </c>
      <c r="L23" s="5" t="s">
        <v>59</v>
      </c>
      <c r="M23" s="5" t="s">
        <v>59</v>
      </c>
      <c r="N23" s="5">
        <v>25.0</v>
      </c>
      <c r="O23" s="5">
        <v>5.69</v>
      </c>
      <c r="P23" s="5">
        <v>1.79</v>
      </c>
      <c r="Q23" s="5">
        <v>60.34</v>
      </c>
    </row>
    <row r="24">
      <c r="A24" s="5" t="s">
        <v>17</v>
      </c>
      <c r="B24" s="5" t="s">
        <v>12</v>
      </c>
      <c r="C24" s="5" t="s">
        <v>18</v>
      </c>
      <c r="D24" s="5">
        <v>2023.0</v>
      </c>
      <c r="E24" s="5">
        <v>2.5</v>
      </c>
      <c r="F24" s="5">
        <v>60.0</v>
      </c>
      <c r="G24" s="5">
        <v>24.0</v>
      </c>
      <c r="H24" s="5">
        <v>3.0</v>
      </c>
      <c r="I24" s="5" t="s">
        <v>14</v>
      </c>
      <c r="J24" s="5" t="s">
        <v>59</v>
      </c>
      <c r="K24" s="5" t="s">
        <v>59</v>
      </c>
      <c r="L24" s="5" t="s">
        <v>59</v>
      </c>
      <c r="M24" s="5" t="s">
        <v>59</v>
      </c>
      <c r="N24" s="5">
        <v>23.0</v>
      </c>
      <c r="O24" s="5">
        <v>5.63</v>
      </c>
      <c r="P24" s="5">
        <v>1.64</v>
      </c>
      <c r="Q24" s="5">
        <v>59.52</v>
      </c>
    </row>
    <row r="25">
      <c r="A25" s="5" t="s">
        <v>21</v>
      </c>
      <c r="B25" s="5" t="s">
        <v>20</v>
      </c>
      <c r="C25" s="5" t="s">
        <v>22</v>
      </c>
      <c r="D25" s="5">
        <v>2023.0</v>
      </c>
      <c r="E25" s="5">
        <v>4.0</v>
      </c>
      <c r="F25" s="5">
        <v>50.0</v>
      </c>
      <c r="G25" s="5">
        <v>12.5</v>
      </c>
      <c r="H25" s="5">
        <v>4.0</v>
      </c>
      <c r="I25" s="5" t="s">
        <v>14</v>
      </c>
      <c r="J25" s="5">
        <v>390.0</v>
      </c>
      <c r="K25" s="5">
        <v>30.0</v>
      </c>
      <c r="L25" s="5">
        <v>125.81</v>
      </c>
      <c r="M25" s="5">
        <v>55.38</v>
      </c>
      <c r="N25" s="5" t="s">
        <v>59</v>
      </c>
      <c r="O25" s="5" t="s">
        <v>59</v>
      </c>
      <c r="P25" s="5" t="s">
        <v>59</v>
      </c>
      <c r="Q25" s="5" t="s">
        <v>59</v>
      </c>
    </row>
    <row r="26">
      <c r="A26" s="5" t="s">
        <v>23</v>
      </c>
      <c r="B26" s="5" t="s">
        <v>20</v>
      </c>
      <c r="C26" s="5" t="s">
        <v>24</v>
      </c>
      <c r="D26" s="5">
        <v>2023.0</v>
      </c>
      <c r="E26" s="5">
        <v>9.0</v>
      </c>
      <c r="F26" s="5">
        <v>100.0</v>
      </c>
      <c r="G26" s="5">
        <v>11.11</v>
      </c>
      <c r="H26" s="5">
        <v>1.0</v>
      </c>
      <c r="I26" s="5" t="s">
        <v>14</v>
      </c>
      <c r="J26" s="5">
        <v>520.0</v>
      </c>
      <c r="K26" s="5">
        <v>43.33</v>
      </c>
      <c r="L26" s="5">
        <v>157.58</v>
      </c>
      <c r="M26" s="5">
        <v>76.92</v>
      </c>
      <c r="N26" s="5" t="s">
        <v>59</v>
      </c>
      <c r="O26" s="5" t="s">
        <v>59</v>
      </c>
      <c r="P26" s="5" t="s">
        <v>59</v>
      </c>
      <c r="Q26" s="5" t="s">
        <v>59</v>
      </c>
    </row>
    <row r="27">
      <c r="A27" s="5" t="s">
        <v>25</v>
      </c>
      <c r="B27" s="5" t="s">
        <v>20</v>
      </c>
      <c r="C27" s="5" t="s">
        <v>26</v>
      </c>
      <c r="D27" s="5">
        <v>2023.0</v>
      </c>
      <c r="E27" s="5">
        <v>8.0</v>
      </c>
      <c r="F27" s="5">
        <v>82.9</v>
      </c>
      <c r="G27" s="5">
        <v>10.36</v>
      </c>
      <c r="H27" s="5">
        <v>2.0</v>
      </c>
      <c r="I27" s="5" t="s">
        <v>14</v>
      </c>
      <c r="J27" s="5">
        <v>430.0</v>
      </c>
      <c r="K27" s="5">
        <v>33.08</v>
      </c>
      <c r="L27" s="5">
        <v>126.47</v>
      </c>
      <c r="M27" s="5">
        <v>59.53</v>
      </c>
      <c r="N27" s="5" t="s">
        <v>59</v>
      </c>
      <c r="O27" s="5" t="s">
        <v>59</v>
      </c>
      <c r="P27" s="5" t="s">
        <v>59</v>
      </c>
      <c r="Q27" s="5" t="s">
        <v>59</v>
      </c>
    </row>
    <row r="28">
      <c r="A28" s="5" t="s">
        <v>19</v>
      </c>
      <c r="B28" s="5" t="s">
        <v>20</v>
      </c>
      <c r="C28" s="5" t="s">
        <v>16</v>
      </c>
      <c r="D28" s="5">
        <v>2023.0</v>
      </c>
      <c r="E28" s="5">
        <v>3.5</v>
      </c>
      <c r="F28" s="5">
        <v>28.6</v>
      </c>
      <c r="G28" s="5">
        <v>8.17</v>
      </c>
      <c r="H28" s="5">
        <v>6.0</v>
      </c>
      <c r="I28" s="5" t="s">
        <v>14</v>
      </c>
      <c r="J28" s="5">
        <v>310.0</v>
      </c>
      <c r="K28" s="5">
        <v>25.83</v>
      </c>
      <c r="L28" s="5">
        <v>119.23</v>
      </c>
      <c r="M28" s="5">
        <v>51.61</v>
      </c>
      <c r="N28" s="5" t="s">
        <v>59</v>
      </c>
      <c r="O28" s="5" t="s">
        <v>59</v>
      </c>
      <c r="P28" s="5" t="s">
        <v>59</v>
      </c>
      <c r="Q28" s="5" t="s">
        <v>59</v>
      </c>
    </row>
    <row r="29">
      <c r="A29" s="5" t="s">
        <v>30</v>
      </c>
      <c r="B29" s="5" t="s">
        <v>20</v>
      </c>
      <c r="C29" s="5" t="s">
        <v>13</v>
      </c>
      <c r="D29" s="5">
        <v>2023.0</v>
      </c>
      <c r="E29" s="5">
        <v>6.0</v>
      </c>
      <c r="F29" s="5">
        <v>41.4</v>
      </c>
      <c r="G29" s="5">
        <v>6.9</v>
      </c>
      <c r="H29" s="5">
        <v>5.0</v>
      </c>
      <c r="I29" s="5" t="s">
        <v>29</v>
      </c>
      <c r="J29" s="5">
        <v>360.0</v>
      </c>
      <c r="K29" s="5">
        <v>27.69</v>
      </c>
      <c r="L29" s="5">
        <v>124.14</v>
      </c>
      <c r="M29" s="5">
        <v>50.0</v>
      </c>
      <c r="N29" s="5" t="s">
        <v>59</v>
      </c>
      <c r="O29" s="5" t="s">
        <v>59</v>
      </c>
      <c r="P29" s="5" t="s">
        <v>59</v>
      </c>
      <c r="Q29" s="5" t="s">
        <v>59</v>
      </c>
    </row>
    <row r="30">
      <c r="A30" s="5" t="s">
        <v>37</v>
      </c>
      <c r="B30" s="5" t="s">
        <v>20</v>
      </c>
      <c r="C30" s="5" t="s">
        <v>24</v>
      </c>
      <c r="D30" s="5">
        <v>2023.0</v>
      </c>
      <c r="E30" s="5">
        <v>3.5</v>
      </c>
      <c r="F30" s="5">
        <v>22.9</v>
      </c>
      <c r="G30" s="5">
        <v>6.54</v>
      </c>
      <c r="H30" s="5">
        <v>7.0</v>
      </c>
      <c r="I30" s="5" t="s">
        <v>29</v>
      </c>
      <c r="J30" s="5">
        <v>300.0</v>
      </c>
      <c r="K30" s="5">
        <v>25.0</v>
      </c>
      <c r="L30" s="5">
        <v>117.65</v>
      </c>
      <c r="M30" s="5">
        <v>50.0</v>
      </c>
      <c r="N30" s="5" t="s">
        <v>59</v>
      </c>
      <c r="O30" s="5" t="s">
        <v>59</v>
      </c>
      <c r="P30" s="5" t="s">
        <v>59</v>
      </c>
      <c r="Q30" s="5" t="s">
        <v>59</v>
      </c>
    </row>
    <row r="31">
      <c r="A31" s="5" t="s">
        <v>32</v>
      </c>
      <c r="B31" s="5" t="s">
        <v>12</v>
      </c>
      <c r="C31" s="5" t="s">
        <v>33</v>
      </c>
      <c r="D31" s="5">
        <v>2023.0</v>
      </c>
      <c r="E31" s="5">
        <v>7.5</v>
      </c>
      <c r="F31" s="5">
        <v>44.0</v>
      </c>
      <c r="G31" s="5">
        <v>5.87</v>
      </c>
      <c r="H31" s="5">
        <v>4.0</v>
      </c>
      <c r="I31" s="5" t="s">
        <v>34</v>
      </c>
      <c r="J31" s="5" t="s">
        <v>59</v>
      </c>
      <c r="K31" s="5" t="s">
        <v>59</v>
      </c>
      <c r="L31" s="5" t="s">
        <v>59</v>
      </c>
      <c r="M31" s="5" t="s">
        <v>59</v>
      </c>
      <c r="N31" s="5">
        <v>20.0</v>
      </c>
      <c r="O31" s="5">
        <v>5.38</v>
      </c>
      <c r="P31" s="5">
        <v>1.43</v>
      </c>
      <c r="Q31" s="5">
        <v>56.09</v>
      </c>
    </row>
    <row r="32">
      <c r="A32" s="5" t="s">
        <v>31</v>
      </c>
      <c r="B32" s="5" t="s">
        <v>12</v>
      </c>
      <c r="C32" s="5" t="s">
        <v>22</v>
      </c>
      <c r="D32" s="5">
        <v>2023.0</v>
      </c>
      <c r="E32" s="5">
        <v>1.2</v>
      </c>
      <c r="F32" s="5">
        <v>6.0</v>
      </c>
      <c r="G32" s="5">
        <v>5.0</v>
      </c>
      <c r="H32" s="5">
        <v>6.0</v>
      </c>
      <c r="I32" s="5" t="s">
        <v>34</v>
      </c>
      <c r="J32" s="5" t="s">
        <v>59</v>
      </c>
      <c r="K32" s="5" t="s">
        <v>59</v>
      </c>
      <c r="L32" s="5" t="s">
        <v>59</v>
      </c>
      <c r="M32" s="5" t="s">
        <v>59</v>
      </c>
      <c r="N32" s="5">
        <v>17.0</v>
      </c>
      <c r="O32" s="5">
        <v>6.25</v>
      </c>
      <c r="P32" s="5">
        <v>1.21</v>
      </c>
      <c r="Q32" s="5">
        <v>49.68</v>
      </c>
    </row>
    <row r="33">
      <c r="A33" s="5" t="s">
        <v>27</v>
      </c>
      <c r="B33" s="5" t="s">
        <v>28</v>
      </c>
      <c r="C33" s="5" t="s">
        <v>24</v>
      </c>
      <c r="D33" s="5">
        <v>2023.0</v>
      </c>
      <c r="E33" s="5">
        <v>12.0</v>
      </c>
      <c r="F33" s="5">
        <v>60.0</v>
      </c>
      <c r="G33" s="5">
        <v>5.0</v>
      </c>
      <c r="H33" s="5">
        <v>3.0</v>
      </c>
      <c r="I33" s="5" t="s">
        <v>34</v>
      </c>
      <c r="J33" s="5">
        <v>290.0</v>
      </c>
      <c r="K33" s="5">
        <v>22.31</v>
      </c>
      <c r="L33" s="5">
        <v>126.09</v>
      </c>
      <c r="M33" s="5">
        <v>57.24</v>
      </c>
      <c r="N33" s="5">
        <v>13.0</v>
      </c>
      <c r="O33" s="5">
        <v>6.5</v>
      </c>
      <c r="P33" s="5">
        <v>0.93</v>
      </c>
      <c r="Q33" s="5">
        <v>42.67</v>
      </c>
    </row>
    <row r="34">
      <c r="A34" s="5" t="s">
        <v>38</v>
      </c>
      <c r="B34" s="5" t="s">
        <v>28</v>
      </c>
      <c r="C34" s="5" t="s">
        <v>26</v>
      </c>
      <c r="D34" s="5">
        <v>2023.0</v>
      </c>
      <c r="E34" s="5">
        <v>13.5</v>
      </c>
      <c r="F34" s="5">
        <v>64.0</v>
      </c>
      <c r="G34" s="5">
        <v>4.74</v>
      </c>
      <c r="H34" s="5">
        <v>2.0</v>
      </c>
      <c r="I34" s="5" t="s">
        <v>34</v>
      </c>
      <c r="J34" s="5">
        <v>280.0</v>
      </c>
      <c r="K34" s="5">
        <v>20.0</v>
      </c>
      <c r="L34" s="5">
        <v>127.27</v>
      </c>
      <c r="M34" s="5">
        <v>55.71</v>
      </c>
      <c r="N34" s="5">
        <v>12.0</v>
      </c>
      <c r="O34" s="5">
        <v>6.46</v>
      </c>
      <c r="P34" s="5">
        <v>0.86</v>
      </c>
      <c r="Q34" s="5">
        <v>43.4</v>
      </c>
    </row>
    <row r="35">
      <c r="A35" s="5" t="s">
        <v>39</v>
      </c>
      <c r="B35" s="5" t="s">
        <v>28</v>
      </c>
      <c r="C35" s="5" t="s">
        <v>33</v>
      </c>
      <c r="D35" s="5">
        <v>2023.0</v>
      </c>
      <c r="E35" s="5">
        <v>10.0</v>
      </c>
      <c r="F35" s="5">
        <v>46.0</v>
      </c>
      <c r="G35" s="5">
        <v>4.6</v>
      </c>
      <c r="H35" s="5">
        <v>4.0</v>
      </c>
      <c r="I35" s="5" t="s">
        <v>34</v>
      </c>
      <c r="J35" s="5">
        <v>260.0</v>
      </c>
      <c r="K35" s="5">
        <v>20.0</v>
      </c>
      <c r="L35" s="5">
        <v>123.81</v>
      </c>
      <c r="M35" s="5">
        <v>56.92</v>
      </c>
      <c r="N35" s="5">
        <v>11.0</v>
      </c>
      <c r="O35" s="5">
        <v>6.41</v>
      </c>
      <c r="P35" s="5">
        <v>0.79</v>
      </c>
      <c r="Q35" s="5">
        <v>42.75</v>
      </c>
    </row>
    <row r="36">
      <c r="A36" s="5" t="s">
        <v>36</v>
      </c>
      <c r="B36" s="5" t="s">
        <v>28</v>
      </c>
      <c r="C36" s="5" t="s">
        <v>18</v>
      </c>
      <c r="D36" s="5">
        <v>2023.0</v>
      </c>
      <c r="E36" s="5">
        <v>17.0</v>
      </c>
      <c r="F36" s="5">
        <v>77.0</v>
      </c>
      <c r="G36" s="5">
        <v>4.53</v>
      </c>
      <c r="H36" s="5">
        <v>1.0</v>
      </c>
      <c r="I36" s="5" t="s">
        <v>34</v>
      </c>
      <c r="J36" s="5">
        <v>310.0</v>
      </c>
      <c r="K36" s="5">
        <v>22.14</v>
      </c>
      <c r="L36" s="5">
        <v>129.17</v>
      </c>
      <c r="M36" s="5">
        <v>63.23</v>
      </c>
      <c r="N36" s="5">
        <v>14.0</v>
      </c>
      <c r="O36" s="5">
        <v>6.73</v>
      </c>
      <c r="P36" s="5">
        <v>1.0</v>
      </c>
      <c r="Q36" s="5">
        <v>43.27</v>
      </c>
    </row>
    <row r="37">
      <c r="A37" s="5" t="s">
        <v>35</v>
      </c>
      <c r="B37" s="5" t="s">
        <v>20</v>
      </c>
      <c r="C37" s="5" t="s">
        <v>22</v>
      </c>
      <c r="D37" s="5">
        <v>2023.0</v>
      </c>
      <c r="E37" s="5">
        <v>16.5</v>
      </c>
      <c r="F37" s="5">
        <v>74.3</v>
      </c>
      <c r="G37" s="5">
        <v>4.5</v>
      </c>
      <c r="H37" s="5">
        <v>3.0</v>
      </c>
      <c r="I37" s="5" t="s">
        <v>34</v>
      </c>
      <c r="J37" s="5">
        <v>480.0</v>
      </c>
      <c r="K37" s="5">
        <v>34.29</v>
      </c>
      <c r="L37" s="5">
        <v>126.32</v>
      </c>
      <c r="M37" s="5">
        <v>57.5</v>
      </c>
      <c r="N37" s="5" t="s">
        <v>59</v>
      </c>
      <c r="O37" s="5" t="s">
        <v>59</v>
      </c>
      <c r="P37" s="5" t="s">
        <v>59</v>
      </c>
      <c r="Q37" s="5" t="s">
        <v>59</v>
      </c>
    </row>
    <row r="38">
      <c r="A38" s="5" t="s">
        <v>40</v>
      </c>
      <c r="B38" s="5" t="s">
        <v>28</v>
      </c>
      <c r="C38" s="5" t="s">
        <v>22</v>
      </c>
      <c r="D38" s="5">
        <v>2023.0</v>
      </c>
      <c r="E38" s="5">
        <v>9.5</v>
      </c>
      <c r="F38" s="5">
        <v>33.0</v>
      </c>
      <c r="G38" s="5">
        <v>3.47</v>
      </c>
      <c r="H38" s="5">
        <v>5.0</v>
      </c>
      <c r="I38" s="5" t="s">
        <v>41</v>
      </c>
      <c r="J38" s="5">
        <v>240.0</v>
      </c>
      <c r="K38" s="5">
        <v>17.14</v>
      </c>
      <c r="L38" s="5">
        <v>120.0</v>
      </c>
      <c r="M38" s="5">
        <v>55.83</v>
      </c>
      <c r="N38" s="5">
        <v>11.0</v>
      </c>
      <c r="O38" s="5">
        <v>6.2</v>
      </c>
      <c r="P38" s="5">
        <v>0.79</v>
      </c>
      <c r="Q38" s="5">
        <v>40.58</v>
      </c>
    </row>
    <row r="39">
      <c r="A39" s="5" t="s">
        <v>42</v>
      </c>
      <c r="B39" s="5" t="s">
        <v>12</v>
      </c>
      <c r="C39" s="5" t="s">
        <v>33</v>
      </c>
      <c r="D39" s="5">
        <v>2023.0</v>
      </c>
      <c r="E39" s="5">
        <v>6.5</v>
      </c>
      <c r="F39" s="5">
        <v>22.0</v>
      </c>
      <c r="G39" s="5">
        <v>3.38</v>
      </c>
      <c r="H39" s="5">
        <v>5.0</v>
      </c>
      <c r="I39" s="5" t="s">
        <v>41</v>
      </c>
      <c r="J39" s="5" t="s">
        <v>59</v>
      </c>
      <c r="K39" s="5" t="s">
        <v>59</v>
      </c>
      <c r="L39" s="5" t="s">
        <v>59</v>
      </c>
      <c r="M39" s="5" t="s">
        <v>59</v>
      </c>
      <c r="N39" s="5">
        <v>21.0</v>
      </c>
      <c r="O39" s="5">
        <v>5.92</v>
      </c>
      <c r="P39" s="5">
        <v>1.5</v>
      </c>
      <c r="Q39" s="5">
        <v>48.61</v>
      </c>
    </row>
    <row r="40">
      <c r="A40" s="5" t="s">
        <v>43</v>
      </c>
      <c r="B40" s="5" t="s">
        <v>28</v>
      </c>
      <c r="C40" s="5" t="s">
        <v>16</v>
      </c>
      <c r="D40" s="5">
        <v>2023.0</v>
      </c>
      <c r="E40" s="5">
        <v>11.0</v>
      </c>
      <c r="F40" s="5">
        <v>16.0</v>
      </c>
      <c r="G40" s="5">
        <v>1.45</v>
      </c>
      <c r="H40" s="5">
        <v>6.0</v>
      </c>
      <c r="I40" s="5" t="s">
        <v>44</v>
      </c>
      <c r="J40" s="5">
        <v>200.0</v>
      </c>
      <c r="K40" s="5">
        <v>15.38</v>
      </c>
      <c r="L40" s="5">
        <v>117.65</v>
      </c>
      <c r="M40" s="5">
        <v>57.0</v>
      </c>
      <c r="N40" s="5">
        <v>10.0</v>
      </c>
      <c r="O40" s="5">
        <v>6.55</v>
      </c>
      <c r="P40" s="5">
        <v>0.71</v>
      </c>
      <c r="Q40" s="5">
        <v>42.86</v>
      </c>
    </row>
    <row r="41">
      <c r="A41" s="5" t="s">
        <v>45</v>
      </c>
      <c r="B41" s="5" t="s">
        <v>20</v>
      </c>
      <c r="C41" s="5" t="s">
        <v>18</v>
      </c>
      <c r="D41" s="5">
        <v>2023.0</v>
      </c>
      <c r="E41" s="5">
        <v>4.0</v>
      </c>
      <c r="F41" s="5">
        <v>0.0</v>
      </c>
      <c r="G41" s="5">
        <v>0.0</v>
      </c>
      <c r="H41" s="5">
        <v>8.0</v>
      </c>
      <c r="I41" s="5" t="s">
        <v>44</v>
      </c>
      <c r="J41" s="5">
        <v>280.0</v>
      </c>
      <c r="K41" s="5">
        <v>23.33</v>
      </c>
      <c r="L41" s="5">
        <v>116.67</v>
      </c>
      <c r="M41" s="5">
        <v>48.57</v>
      </c>
      <c r="N41" s="5" t="s">
        <v>59</v>
      </c>
      <c r="O41" s="5" t="s">
        <v>59</v>
      </c>
      <c r="P41" s="5" t="s">
        <v>59</v>
      </c>
      <c r="Q41" s="5" t="s">
        <v>59</v>
      </c>
    </row>
  </sheetData>
  <customSheetViews>
    <customSheetView guid="{70944590-CD69-4157-833B-543467CEC00B}" filter="1" showAutoFilter="1">
      <autoFilter ref="$A$1:$Q$41"/>
    </customSheetView>
    <customSheetView guid="{70944590-CD69-4157-833B-543467CEC00B}" filter="1" showAutoFilter="1">
      <autoFilter ref="$A$1:$Q$41"/>
    </customSheetView>
  </customSheetView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sheetData>
  <drawing r:id="rId2"/>
  <extLst>
    <ext uri="{3A4CF648-6AED-40f4-86FF-DC5316D8AED3}">
      <x14:slicerList>
        <x14:slicer r:id="rId3"/>
      </x14:slicerList>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3</v>
      </c>
      <c r="C1" s="4" t="s">
        <v>4</v>
      </c>
      <c r="D1" s="4" t="s">
        <v>5</v>
      </c>
      <c r="E1" s="4" t="s">
        <v>46</v>
      </c>
      <c r="F1" s="4" t="s">
        <v>47</v>
      </c>
      <c r="G1" s="4" t="s">
        <v>48</v>
      </c>
      <c r="H1" s="4" t="s">
        <v>49</v>
      </c>
    </row>
    <row r="2" hidden="1">
      <c r="A2" s="4" t="s">
        <v>35</v>
      </c>
      <c r="B2" s="4" t="s">
        <v>20</v>
      </c>
      <c r="C2" s="4" t="s">
        <v>22</v>
      </c>
      <c r="D2" s="4">
        <v>2022.0</v>
      </c>
      <c r="E2" s="4">
        <v>480.0</v>
      </c>
      <c r="F2" s="4">
        <v>34.29</v>
      </c>
      <c r="G2" s="4">
        <v>126.32</v>
      </c>
      <c r="H2" s="4">
        <v>57.5</v>
      </c>
    </row>
    <row r="3">
      <c r="A3" s="4" t="s">
        <v>35</v>
      </c>
      <c r="B3" s="4" t="s">
        <v>20</v>
      </c>
      <c r="C3" s="4" t="s">
        <v>22</v>
      </c>
      <c r="D3" s="4">
        <v>2023.0</v>
      </c>
      <c r="E3" s="4">
        <v>520.0</v>
      </c>
      <c r="F3" s="4">
        <v>37.14</v>
      </c>
      <c r="G3" s="4">
        <v>130.0</v>
      </c>
      <c r="H3" s="4">
        <v>58.46</v>
      </c>
    </row>
    <row r="4" hidden="1">
      <c r="A4" s="4" t="s">
        <v>36</v>
      </c>
      <c r="B4" s="4" t="s">
        <v>28</v>
      </c>
      <c r="C4" s="4" t="s">
        <v>18</v>
      </c>
      <c r="D4" s="4">
        <v>2022.0</v>
      </c>
      <c r="E4" s="4">
        <v>310.0</v>
      </c>
      <c r="F4" s="4">
        <v>22.14</v>
      </c>
      <c r="G4" s="4">
        <v>129.17</v>
      </c>
      <c r="H4" s="4">
        <v>63.23</v>
      </c>
    </row>
    <row r="5">
      <c r="A5" s="4" t="s">
        <v>36</v>
      </c>
      <c r="B5" s="4" t="s">
        <v>28</v>
      </c>
      <c r="C5" s="4" t="s">
        <v>18</v>
      </c>
      <c r="D5" s="4">
        <v>2023.0</v>
      </c>
      <c r="E5" s="4">
        <v>340.0</v>
      </c>
      <c r="F5" s="4">
        <v>24.29</v>
      </c>
      <c r="G5" s="4">
        <v>130.77</v>
      </c>
      <c r="H5" s="4">
        <v>63.53</v>
      </c>
    </row>
    <row r="6" hidden="1">
      <c r="A6" s="4" t="s">
        <v>23</v>
      </c>
      <c r="B6" s="4" t="s">
        <v>20</v>
      </c>
      <c r="C6" s="4" t="s">
        <v>24</v>
      </c>
      <c r="D6" s="4">
        <v>2022.0</v>
      </c>
      <c r="E6" s="4">
        <v>520.0</v>
      </c>
      <c r="F6" s="4">
        <v>43.33</v>
      </c>
      <c r="G6" s="4">
        <v>157.58</v>
      </c>
      <c r="H6" s="4">
        <v>76.92</v>
      </c>
    </row>
    <row r="7">
      <c r="A7" s="4" t="s">
        <v>23</v>
      </c>
      <c r="B7" s="4" t="s">
        <v>20</v>
      </c>
      <c r="C7" s="4" t="s">
        <v>24</v>
      </c>
      <c r="D7" s="4">
        <v>2023.0</v>
      </c>
      <c r="E7" s="4">
        <v>610.0</v>
      </c>
      <c r="F7" s="4">
        <v>43.57</v>
      </c>
      <c r="G7" s="4">
        <v>164.86</v>
      </c>
      <c r="H7" s="4">
        <v>75.08</v>
      </c>
    </row>
    <row r="8" hidden="1">
      <c r="A8" s="4" t="s">
        <v>21</v>
      </c>
      <c r="B8" s="4" t="s">
        <v>20</v>
      </c>
      <c r="C8" s="4" t="s">
        <v>22</v>
      </c>
      <c r="D8" s="4">
        <v>2022.0</v>
      </c>
      <c r="E8" s="4">
        <v>390.0</v>
      </c>
      <c r="F8" s="4">
        <v>30.0</v>
      </c>
      <c r="G8" s="4">
        <v>125.81</v>
      </c>
      <c r="H8" s="4">
        <v>55.38</v>
      </c>
    </row>
    <row r="9">
      <c r="A9" s="4" t="s">
        <v>21</v>
      </c>
      <c r="B9" s="4" t="s">
        <v>20</v>
      </c>
      <c r="C9" s="4" t="s">
        <v>22</v>
      </c>
      <c r="D9" s="4">
        <v>2023.0</v>
      </c>
      <c r="E9" s="4">
        <v>420.0</v>
      </c>
      <c r="F9" s="4">
        <v>30.0</v>
      </c>
      <c r="G9" s="4">
        <v>127.27</v>
      </c>
      <c r="H9" s="4">
        <v>57.62</v>
      </c>
    </row>
    <row r="10" hidden="1">
      <c r="A10" s="4" t="s">
        <v>38</v>
      </c>
      <c r="B10" s="4" t="s">
        <v>28</v>
      </c>
      <c r="C10" s="4" t="s">
        <v>26</v>
      </c>
      <c r="D10" s="4">
        <v>2022.0</v>
      </c>
      <c r="E10" s="4">
        <v>280.0</v>
      </c>
      <c r="F10" s="4">
        <v>20.0</v>
      </c>
      <c r="G10" s="4">
        <v>127.27</v>
      </c>
      <c r="H10" s="4">
        <v>55.71</v>
      </c>
    </row>
    <row r="11">
      <c r="A11" s="4" t="s">
        <v>38</v>
      </c>
      <c r="B11" s="4" t="s">
        <v>28</v>
      </c>
      <c r="C11" s="4" t="s">
        <v>26</v>
      </c>
      <c r="D11" s="4">
        <v>2023.0</v>
      </c>
      <c r="E11" s="4">
        <v>310.0</v>
      </c>
      <c r="F11" s="4">
        <v>22.14</v>
      </c>
      <c r="G11" s="4">
        <v>131.91</v>
      </c>
      <c r="H11" s="4">
        <v>58.06</v>
      </c>
    </row>
    <row r="12" hidden="1">
      <c r="A12" s="4" t="s">
        <v>30</v>
      </c>
      <c r="B12" s="4" t="s">
        <v>20</v>
      </c>
      <c r="C12" s="4" t="s">
        <v>13</v>
      </c>
      <c r="D12" s="4">
        <v>2022.0</v>
      </c>
      <c r="E12" s="4">
        <v>360.0</v>
      </c>
      <c r="F12" s="4">
        <v>27.69</v>
      </c>
      <c r="G12" s="4">
        <v>124.14</v>
      </c>
      <c r="H12" s="4">
        <v>50.0</v>
      </c>
    </row>
    <row r="13">
      <c r="A13" s="4" t="s">
        <v>30</v>
      </c>
      <c r="B13" s="4" t="s">
        <v>20</v>
      </c>
      <c r="C13" s="4" t="s">
        <v>13</v>
      </c>
      <c r="D13" s="4">
        <v>2023.0</v>
      </c>
      <c r="E13" s="4">
        <v>400.0</v>
      </c>
      <c r="F13" s="4">
        <v>28.57</v>
      </c>
      <c r="G13" s="4">
        <v>129.03</v>
      </c>
      <c r="H13" s="4">
        <v>51.0</v>
      </c>
    </row>
    <row r="14" hidden="1">
      <c r="A14" s="4" t="s">
        <v>27</v>
      </c>
      <c r="B14" s="4" t="s">
        <v>28</v>
      </c>
      <c r="C14" s="4" t="s">
        <v>24</v>
      </c>
      <c r="D14" s="4">
        <v>2022.0</v>
      </c>
      <c r="E14" s="4">
        <v>290.0</v>
      </c>
      <c r="F14" s="4">
        <v>22.31</v>
      </c>
      <c r="G14" s="4">
        <v>126.09</v>
      </c>
      <c r="H14" s="4">
        <v>57.24</v>
      </c>
    </row>
    <row r="15">
      <c r="A15" s="4" t="s">
        <v>27</v>
      </c>
      <c r="B15" s="4" t="s">
        <v>28</v>
      </c>
      <c r="C15" s="4" t="s">
        <v>24</v>
      </c>
      <c r="D15" s="4">
        <v>2023.0</v>
      </c>
      <c r="E15" s="4">
        <v>320.0</v>
      </c>
      <c r="F15" s="4">
        <v>22.86</v>
      </c>
      <c r="G15" s="4">
        <v>128.0</v>
      </c>
      <c r="H15" s="4">
        <v>59.38</v>
      </c>
    </row>
    <row r="16" hidden="1">
      <c r="A16" s="4" t="s">
        <v>19</v>
      </c>
      <c r="B16" s="4" t="s">
        <v>20</v>
      </c>
      <c r="C16" s="4" t="s">
        <v>16</v>
      </c>
      <c r="D16" s="4">
        <v>2022.0</v>
      </c>
      <c r="E16" s="4">
        <v>310.0</v>
      </c>
      <c r="F16" s="4">
        <v>25.83</v>
      </c>
      <c r="G16" s="4">
        <v>119.23</v>
      </c>
      <c r="H16" s="4">
        <v>51.61</v>
      </c>
    </row>
    <row r="17">
      <c r="A17" s="4" t="s">
        <v>19</v>
      </c>
      <c r="B17" s="4" t="s">
        <v>20</v>
      </c>
      <c r="C17" s="4" t="s">
        <v>16</v>
      </c>
      <c r="D17" s="4">
        <v>2023.0</v>
      </c>
      <c r="E17" s="4">
        <v>360.0</v>
      </c>
      <c r="F17" s="4">
        <v>25.71</v>
      </c>
      <c r="G17" s="4">
        <v>124.14</v>
      </c>
      <c r="H17" s="4">
        <v>52.22</v>
      </c>
    </row>
    <row r="18" hidden="1">
      <c r="A18" s="4" t="s">
        <v>40</v>
      </c>
      <c r="B18" s="4" t="s">
        <v>28</v>
      </c>
      <c r="C18" s="4" t="s">
        <v>22</v>
      </c>
      <c r="D18" s="4">
        <v>2022.0</v>
      </c>
      <c r="E18" s="4">
        <v>240.0</v>
      </c>
      <c r="F18" s="4">
        <v>17.14</v>
      </c>
      <c r="G18" s="4">
        <v>120.0</v>
      </c>
      <c r="H18" s="4">
        <v>55.83</v>
      </c>
    </row>
    <row r="19">
      <c r="A19" s="4" t="s">
        <v>40</v>
      </c>
      <c r="B19" s="4" t="s">
        <v>28</v>
      </c>
      <c r="C19" s="4" t="s">
        <v>22</v>
      </c>
      <c r="D19" s="4">
        <v>2023.0</v>
      </c>
      <c r="E19" s="4">
        <v>270.0</v>
      </c>
      <c r="F19" s="4">
        <v>19.29</v>
      </c>
      <c r="G19" s="4">
        <v>125.58</v>
      </c>
      <c r="H19" s="4">
        <v>58.52</v>
      </c>
    </row>
    <row r="20" hidden="1">
      <c r="A20" s="4" t="s">
        <v>25</v>
      </c>
      <c r="B20" s="4" t="s">
        <v>20</v>
      </c>
      <c r="C20" s="4" t="s">
        <v>26</v>
      </c>
      <c r="D20" s="4">
        <v>2022.0</v>
      </c>
      <c r="E20" s="4">
        <v>430.0</v>
      </c>
      <c r="F20" s="4">
        <v>33.08</v>
      </c>
      <c r="G20" s="4">
        <v>126.47</v>
      </c>
      <c r="H20" s="4">
        <v>59.53</v>
      </c>
    </row>
    <row r="21">
      <c r="A21" s="4" t="s">
        <v>25</v>
      </c>
      <c r="B21" s="4" t="s">
        <v>20</v>
      </c>
      <c r="C21" s="4" t="s">
        <v>26</v>
      </c>
      <c r="D21" s="4">
        <v>2023.0</v>
      </c>
      <c r="E21" s="4">
        <v>470.0</v>
      </c>
      <c r="F21" s="4">
        <v>33.57</v>
      </c>
      <c r="G21" s="4">
        <v>130.56</v>
      </c>
      <c r="H21" s="4">
        <v>60.43</v>
      </c>
    </row>
    <row r="22" hidden="1">
      <c r="A22" s="4" t="s">
        <v>45</v>
      </c>
      <c r="B22" s="4" t="s">
        <v>20</v>
      </c>
      <c r="C22" s="4" t="s">
        <v>18</v>
      </c>
      <c r="D22" s="4">
        <v>2022.0</v>
      </c>
      <c r="E22" s="4">
        <v>280.0</v>
      </c>
      <c r="F22" s="4">
        <v>23.33</v>
      </c>
      <c r="G22" s="4">
        <v>116.67</v>
      </c>
      <c r="H22" s="4">
        <v>48.57</v>
      </c>
    </row>
    <row r="23">
      <c r="A23" s="4" t="s">
        <v>45</v>
      </c>
      <c r="B23" s="4" t="s">
        <v>20</v>
      </c>
      <c r="C23" s="4" t="s">
        <v>18</v>
      </c>
      <c r="D23" s="4">
        <v>2023.0</v>
      </c>
      <c r="E23" s="4">
        <v>320.0</v>
      </c>
      <c r="F23" s="4">
        <v>22.86</v>
      </c>
      <c r="G23" s="4">
        <v>118.52</v>
      </c>
      <c r="H23" s="4">
        <v>50.0</v>
      </c>
    </row>
    <row r="24" hidden="1">
      <c r="A24" s="4" t="s">
        <v>43</v>
      </c>
      <c r="B24" s="4" t="s">
        <v>28</v>
      </c>
      <c r="C24" s="4" t="s">
        <v>16</v>
      </c>
      <c r="D24" s="4">
        <v>2022.0</v>
      </c>
      <c r="E24" s="4">
        <v>200.0</v>
      </c>
      <c r="F24" s="4">
        <v>15.38</v>
      </c>
      <c r="G24" s="4">
        <v>117.65</v>
      </c>
      <c r="H24" s="4">
        <v>57.0</v>
      </c>
    </row>
    <row r="25">
      <c r="A25" s="4" t="s">
        <v>43</v>
      </c>
      <c r="B25" s="4" t="s">
        <v>28</v>
      </c>
      <c r="C25" s="4" t="s">
        <v>16</v>
      </c>
      <c r="D25" s="4">
        <v>2023.0</v>
      </c>
      <c r="E25" s="4">
        <v>230.0</v>
      </c>
      <c r="F25" s="4">
        <v>16.43</v>
      </c>
      <c r="G25" s="4">
        <v>121.05</v>
      </c>
      <c r="H25" s="4">
        <v>58.26</v>
      </c>
    </row>
    <row r="26" hidden="1">
      <c r="A26" s="4" t="s">
        <v>37</v>
      </c>
      <c r="B26" s="4" t="s">
        <v>20</v>
      </c>
      <c r="C26" s="4" t="s">
        <v>24</v>
      </c>
      <c r="D26" s="4">
        <v>2022.0</v>
      </c>
      <c r="E26" s="4">
        <v>300.0</v>
      </c>
      <c r="F26" s="4">
        <v>25.0</v>
      </c>
      <c r="G26" s="4">
        <v>117.65</v>
      </c>
      <c r="H26" s="4">
        <v>50.0</v>
      </c>
    </row>
    <row r="27">
      <c r="A27" s="4" t="s">
        <v>37</v>
      </c>
      <c r="B27" s="4" t="s">
        <v>20</v>
      </c>
      <c r="C27" s="4" t="s">
        <v>24</v>
      </c>
      <c r="D27" s="4">
        <v>2023.0</v>
      </c>
      <c r="E27" s="4">
        <v>330.0</v>
      </c>
      <c r="F27" s="4">
        <v>25.38</v>
      </c>
      <c r="G27" s="4">
        <v>120.0</v>
      </c>
      <c r="H27" s="4">
        <v>52.73</v>
      </c>
    </row>
    <row r="28" hidden="1">
      <c r="A28" s="4" t="s">
        <v>39</v>
      </c>
      <c r="B28" s="4" t="s">
        <v>28</v>
      </c>
      <c r="C28" s="4" t="s">
        <v>33</v>
      </c>
      <c r="D28" s="4">
        <v>2022.0</v>
      </c>
      <c r="E28" s="4">
        <v>260.0</v>
      </c>
      <c r="F28" s="4">
        <v>20.0</v>
      </c>
      <c r="G28" s="4">
        <v>123.81</v>
      </c>
      <c r="H28" s="4">
        <v>56.92</v>
      </c>
    </row>
    <row r="29">
      <c r="A29" s="4" t="s">
        <v>39</v>
      </c>
      <c r="B29" s="4" t="s">
        <v>28</v>
      </c>
      <c r="C29" s="4" t="s">
        <v>33</v>
      </c>
      <c r="D29" s="4">
        <v>2023.0</v>
      </c>
      <c r="E29" s="4">
        <v>290.0</v>
      </c>
      <c r="F29" s="4">
        <v>20.71</v>
      </c>
      <c r="G29" s="4">
        <v>126.09</v>
      </c>
      <c r="H29" s="4">
        <v>59.31</v>
      </c>
    </row>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D$1:$D$1000">
    <filterColumn colId="0">
      <filters>
        <filter val="2023"/>
      </filters>
    </filterColumn>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3</v>
      </c>
      <c r="C1" s="4" t="s">
        <v>4</v>
      </c>
      <c r="D1" s="4" t="s">
        <v>5</v>
      </c>
      <c r="E1" s="4" t="s">
        <v>61</v>
      </c>
      <c r="F1" s="4" t="s">
        <v>50</v>
      </c>
      <c r="G1" s="4" t="s">
        <v>51</v>
      </c>
      <c r="H1" s="4" t="s">
        <v>52</v>
      </c>
      <c r="I1" s="4" t="s">
        <v>62</v>
      </c>
    </row>
    <row r="2">
      <c r="A2" s="4" t="s">
        <v>11</v>
      </c>
      <c r="B2" s="4" t="s">
        <v>12</v>
      </c>
      <c r="C2" s="4" t="s">
        <v>13</v>
      </c>
      <c r="D2" s="4">
        <v>2023.0</v>
      </c>
      <c r="E2" s="4">
        <v>14.0</v>
      </c>
      <c r="F2" s="4">
        <v>26.0</v>
      </c>
      <c r="G2" s="4">
        <v>5.09</v>
      </c>
      <c r="H2" s="4">
        <v>1.86</v>
      </c>
      <c r="I2" s="4">
        <v>61.78</v>
      </c>
    </row>
    <row r="3">
      <c r="A3" s="4" t="s">
        <v>15</v>
      </c>
      <c r="B3" s="4" t="s">
        <v>12</v>
      </c>
      <c r="C3" s="4" t="s">
        <v>16</v>
      </c>
      <c r="D3" s="4">
        <v>2023.0</v>
      </c>
      <c r="E3" s="4">
        <v>14.0</v>
      </c>
      <c r="F3" s="4">
        <v>25.0</v>
      </c>
      <c r="G3" s="4">
        <v>5.69</v>
      </c>
      <c r="H3" s="4">
        <v>1.79</v>
      </c>
      <c r="I3" s="4">
        <v>60.34</v>
      </c>
    </row>
    <row r="4" hidden="1">
      <c r="A4" s="4" t="s">
        <v>11</v>
      </c>
      <c r="B4" s="4" t="s">
        <v>12</v>
      </c>
      <c r="C4" s="4" t="s">
        <v>13</v>
      </c>
      <c r="D4" s="4">
        <v>2022.0</v>
      </c>
      <c r="E4" s="4">
        <v>14.0</v>
      </c>
      <c r="F4" s="4">
        <v>24.0</v>
      </c>
      <c r="G4" s="4">
        <v>5.09</v>
      </c>
      <c r="H4" s="4">
        <v>1.71</v>
      </c>
      <c r="I4" s="4">
        <v>59.52</v>
      </c>
    </row>
    <row r="5">
      <c r="A5" s="4" t="s">
        <v>17</v>
      </c>
      <c r="B5" s="4" t="s">
        <v>12</v>
      </c>
      <c r="C5" s="4" t="s">
        <v>18</v>
      </c>
      <c r="D5" s="4">
        <v>2023.0</v>
      </c>
      <c r="E5" s="4">
        <v>14.0</v>
      </c>
      <c r="F5" s="4">
        <v>23.0</v>
      </c>
      <c r="G5" s="4">
        <v>5.63</v>
      </c>
      <c r="H5" s="4">
        <v>1.64</v>
      </c>
      <c r="I5" s="4">
        <v>59.52</v>
      </c>
    </row>
    <row r="6" hidden="1">
      <c r="A6" s="4" t="s">
        <v>15</v>
      </c>
      <c r="B6" s="4" t="s">
        <v>12</v>
      </c>
      <c r="C6" s="4" t="s">
        <v>16</v>
      </c>
      <c r="D6" s="4">
        <v>2022.0</v>
      </c>
      <c r="E6" s="4">
        <v>14.0</v>
      </c>
      <c r="F6" s="4">
        <v>22.0</v>
      </c>
      <c r="G6" s="4">
        <v>5.54</v>
      </c>
      <c r="H6" s="4">
        <v>1.57</v>
      </c>
      <c r="I6" s="4">
        <v>56.55</v>
      </c>
    </row>
    <row r="7" hidden="1">
      <c r="A7" s="4" t="s">
        <v>17</v>
      </c>
      <c r="B7" s="4" t="s">
        <v>12</v>
      </c>
      <c r="C7" s="4" t="s">
        <v>18</v>
      </c>
      <c r="D7" s="4">
        <v>2022.0</v>
      </c>
      <c r="E7" s="4">
        <v>14.0</v>
      </c>
      <c r="F7" s="4">
        <v>21.0</v>
      </c>
      <c r="G7" s="4">
        <v>5.46</v>
      </c>
      <c r="H7" s="4">
        <v>1.5</v>
      </c>
      <c r="I7" s="4">
        <v>57.1</v>
      </c>
    </row>
    <row r="8">
      <c r="A8" s="4" t="s">
        <v>42</v>
      </c>
      <c r="B8" s="4" t="s">
        <v>12</v>
      </c>
      <c r="C8" s="4" t="s">
        <v>33</v>
      </c>
      <c r="D8" s="4">
        <v>2023.0</v>
      </c>
      <c r="E8" s="4">
        <v>14.0</v>
      </c>
      <c r="F8" s="4">
        <v>21.0</v>
      </c>
      <c r="G8" s="4">
        <v>5.92</v>
      </c>
      <c r="H8" s="4">
        <v>1.5</v>
      </c>
      <c r="I8" s="4">
        <v>48.61</v>
      </c>
    </row>
    <row r="9" hidden="1">
      <c r="A9" s="4" t="s">
        <v>32</v>
      </c>
      <c r="B9" s="4" t="s">
        <v>12</v>
      </c>
      <c r="C9" s="4" t="s">
        <v>33</v>
      </c>
      <c r="D9" s="4">
        <v>2022.0</v>
      </c>
      <c r="E9" s="4">
        <v>14.0</v>
      </c>
      <c r="F9" s="4">
        <v>20.0</v>
      </c>
      <c r="G9" s="4">
        <v>5.38</v>
      </c>
      <c r="H9" s="4">
        <v>1.43</v>
      </c>
      <c r="I9" s="4">
        <v>56.09</v>
      </c>
    </row>
    <row r="10" hidden="1">
      <c r="A10" s="4" t="s">
        <v>42</v>
      </c>
      <c r="B10" s="4" t="s">
        <v>12</v>
      </c>
      <c r="C10" s="4" t="s">
        <v>33</v>
      </c>
      <c r="D10" s="4">
        <v>2022.0</v>
      </c>
      <c r="E10" s="4">
        <v>14.0</v>
      </c>
      <c r="F10" s="4">
        <v>19.0</v>
      </c>
      <c r="G10" s="4">
        <v>5.86</v>
      </c>
      <c r="H10" s="4">
        <v>1.36</v>
      </c>
      <c r="I10" s="4">
        <v>45.98</v>
      </c>
    </row>
    <row r="11">
      <c r="A11" s="4" t="s">
        <v>32</v>
      </c>
      <c r="B11" s="4" t="s">
        <v>12</v>
      </c>
      <c r="C11" s="4" t="s">
        <v>33</v>
      </c>
      <c r="D11" s="4">
        <v>2023.0</v>
      </c>
      <c r="E11" s="4">
        <v>14.0</v>
      </c>
      <c r="F11" s="4">
        <v>18.0</v>
      </c>
      <c r="G11" s="4">
        <v>5.46</v>
      </c>
      <c r="H11" s="4">
        <v>1.29</v>
      </c>
      <c r="I11" s="4">
        <v>50.93</v>
      </c>
    </row>
    <row r="12">
      <c r="A12" s="4" t="s">
        <v>31</v>
      </c>
      <c r="B12" s="4" t="s">
        <v>12</v>
      </c>
      <c r="C12" s="4" t="s">
        <v>22</v>
      </c>
      <c r="D12" s="4">
        <v>2023.0</v>
      </c>
      <c r="E12" s="4">
        <v>14.0</v>
      </c>
      <c r="F12" s="4">
        <v>17.0</v>
      </c>
      <c r="G12" s="4">
        <v>6.25</v>
      </c>
      <c r="H12" s="4">
        <v>1.21</v>
      </c>
      <c r="I12" s="4">
        <v>49.68</v>
      </c>
    </row>
    <row r="13" hidden="1">
      <c r="A13" s="4" t="s">
        <v>31</v>
      </c>
      <c r="B13" s="4" t="s">
        <v>12</v>
      </c>
      <c r="C13" s="4" t="s">
        <v>22</v>
      </c>
      <c r="D13" s="4">
        <v>2022.0</v>
      </c>
      <c r="E13" s="4">
        <v>14.0</v>
      </c>
      <c r="F13" s="4">
        <v>15.0</v>
      </c>
      <c r="G13" s="4">
        <v>6.2</v>
      </c>
      <c r="H13" s="4">
        <v>1.07</v>
      </c>
      <c r="I13" s="4">
        <v>46.67</v>
      </c>
    </row>
    <row r="14">
      <c r="A14" s="4" t="s">
        <v>36</v>
      </c>
      <c r="B14" s="4" t="s">
        <v>28</v>
      </c>
      <c r="C14" s="4" t="s">
        <v>18</v>
      </c>
      <c r="D14" s="4">
        <v>2023.0</v>
      </c>
      <c r="E14" s="4">
        <v>14.0</v>
      </c>
      <c r="F14" s="4">
        <v>14.0</v>
      </c>
      <c r="G14" s="4">
        <v>6.73</v>
      </c>
      <c r="H14" s="4">
        <v>1.0</v>
      </c>
      <c r="I14" s="4">
        <v>43.27</v>
      </c>
    </row>
    <row r="15">
      <c r="A15" s="4" t="s">
        <v>27</v>
      </c>
      <c r="B15" s="4" t="s">
        <v>28</v>
      </c>
      <c r="C15" s="4" t="s">
        <v>24</v>
      </c>
      <c r="D15" s="4">
        <v>2023.0</v>
      </c>
      <c r="E15" s="4">
        <v>14.0</v>
      </c>
      <c r="F15" s="4">
        <v>13.0</v>
      </c>
      <c r="G15" s="4">
        <v>6.5</v>
      </c>
      <c r="H15" s="4">
        <v>0.93</v>
      </c>
      <c r="I15" s="4">
        <v>42.67</v>
      </c>
    </row>
    <row r="16">
      <c r="A16" s="4" t="s">
        <v>38</v>
      </c>
      <c r="B16" s="4" t="s">
        <v>28</v>
      </c>
      <c r="C16" s="4" t="s">
        <v>26</v>
      </c>
      <c r="D16" s="4">
        <v>2023.0</v>
      </c>
      <c r="E16" s="4">
        <v>14.0</v>
      </c>
      <c r="F16" s="4">
        <v>12.0</v>
      </c>
      <c r="G16" s="4">
        <v>6.46</v>
      </c>
      <c r="H16" s="4">
        <v>0.86</v>
      </c>
      <c r="I16" s="4">
        <v>43.4</v>
      </c>
    </row>
    <row r="17" hidden="1">
      <c r="A17" s="4" t="s">
        <v>36</v>
      </c>
      <c r="B17" s="4" t="s">
        <v>28</v>
      </c>
      <c r="C17" s="4" t="s">
        <v>18</v>
      </c>
      <c r="D17" s="4">
        <v>2022.0</v>
      </c>
      <c r="E17" s="4">
        <v>14.0</v>
      </c>
      <c r="F17" s="4">
        <v>12.0</v>
      </c>
      <c r="G17" s="4">
        <v>6.67</v>
      </c>
      <c r="H17" s="4">
        <v>0.86</v>
      </c>
      <c r="I17" s="4">
        <v>41.67</v>
      </c>
    </row>
    <row r="18">
      <c r="A18" s="4" t="s">
        <v>40</v>
      </c>
      <c r="B18" s="4" t="s">
        <v>28</v>
      </c>
      <c r="C18" s="4" t="s">
        <v>22</v>
      </c>
      <c r="D18" s="4">
        <v>2023.0</v>
      </c>
      <c r="E18" s="4">
        <v>14.0</v>
      </c>
      <c r="F18" s="4">
        <v>11.0</v>
      </c>
      <c r="G18" s="4">
        <v>6.2</v>
      </c>
      <c r="H18" s="4">
        <v>0.79</v>
      </c>
      <c r="I18" s="4">
        <v>40.58</v>
      </c>
    </row>
    <row r="19">
      <c r="A19" s="4" t="s">
        <v>39</v>
      </c>
      <c r="B19" s="4" t="s">
        <v>28</v>
      </c>
      <c r="C19" s="4" t="s">
        <v>33</v>
      </c>
      <c r="D19" s="4">
        <v>2023.0</v>
      </c>
      <c r="E19" s="4">
        <v>14.0</v>
      </c>
      <c r="F19" s="4">
        <v>11.0</v>
      </c>
      <c r="G19" s="4">
        <v>6.41</v>
      </c>
      <c r="H19" s="4">
        <v>0.79</v>
      </c>
      <c r="I19" s="4">
        <v>42.75</v>
      </c>
    </row>
    <row r="20" hidden="1">
      <c r="A20" s="4" t="s">
        <v>27</v>
      </c>
      <c r="B20" s="4" t="s">
        <v>28</v>
      </c>
      <c r="C20" s="4" t="s">
        <v>24</v>
      </c>
      <c r="D20" s="4">
        <v>2022.0</v>
      </c>
      <c r="E20" s="4">
        <v>13.0</v>
      </c>
      <c r="F20" s="4">
        <v>11.0</v>
      </c>
      <c r="G20" s="4">
        <v>6.63</v>
      </c>
      <c r="H20" s="4">
        <v>0.85</v>
      </c>
      <c r="I20" s="4">
        <v>41.67</v>
      </c>
    </row>
    <row r="21">
      <c r="A21" s="4" t="s">
        <v>43</v>
      </c>
      <c r="B21" s="4" t="s">
        <v>28</v>
      </c>
      <c r="C21" s="4" t="s">
        <v>16</v>
      </c>
      <c r="D21" s="4">
        <v>2023.0</v>
      </c>
      <c r="E21" s="4">
        <v>14.0</v>
      </c>
      <c r="F21" s="4">
        <v>10.0</v>
      </c>
      <c r="G21" s="4">
        <v>6.55</v>
      </c>
      <c r="H21" s="4">
        <v>0.71</v>
      </c>
      <c r="I21" s="4">
        <v>42.86</v>
      </c>
    </row>
    <row r="22" hidden="1">
      <c r="A22" s="4" t="s">
        <v>38</v>
      </c>
      <c r="B22" s="4" t="s">
        <v>28</v>
      </c>
      <c r="C22" s="4" t="s">
        <v>26</v>
      </c>
      <c r="D22" s="4">
        <v>2022.0</v>
      </c>
      <c r="E22" s="4">
        <v>14.0</v>
      </c>
      <c r="F22" s="4">
        <v>10.0</v>
      </c>
      <c r="G22" s="4">
        <v>6.59</v>
      </c>
      <c r="H22" s="4">
        <v>0.71</v>
      </c>
      <c r="I22" s="4">
        <v>41.67</v>
      </c>
    </row>
    <row r="23" hidden="1">
      <c r="A23" s="4" t="s">
        <v>40</v>
      </c>
      <c r="B23" s="4" t="s">
        <v>28</v>
      </c>
      <c r="C23" s="4" t="s">
        <v>22</v>
      </c>
      <c r="D23" s="4">
        <v>2022.0</v>
      </c>
      <c r="E23" s="4">
        <v>14.0</v>
      </c>
      <c r="F23" s="4">
        <v>9.0</v>
      </c>
      <c r="G23" s="4">
        <v>6.43</v>
      </c>
      <c r="H23" s="4">
        <v>0.64</v>
      </c>
      <c r="I23" s="4">
        <v>39.68</v>
      </c>
    </row>
    <row r="24" hidden="1">
      <c r="A24" s="4" t="s">
        <v>39</v>
      </c>
      <c r="B24" s="4" t="s">
        <v>28</v>
      </c>
      <c r="C24" s="4" t="s">
        <v>33</v>
      </c>
      <c r="D24" s="4">
        <v>2022.0</v>
      </c>
      <c r="E24" s="4">
        <v>13.0</v>
      </c>
      <c r="F24" s="4">
        <v>9.0</v>
      </c>
      <c r="G24" s="4">
        <v>6.67</v>
      </c>
      <c r="H24" s="4">
        <v>0.69</v>
      </c>
      <c r="I24" s="4">
        <v>41.67</v>
      </c>
    </row>
    <row r="25" hidden="1">
      <c r="A25" s="4" t="s">
        <v>43</v>
      </c>
      <c r="B25" s="4" t="s">
        <v>28</v>
      </c>
      <c r="C25" s="4" t="s">
        <v>16</v>
      </c>
      <c r="D25" s="4">
        <v>2022.0</v>
      </c>
      <c r="E25" s="4">
        <v>13.0</v>
      </c>
      <c r="F25" s="4">
        <v>8.0</v>
      </c>
      <c r="G25" s="4">
        <v>6.84</v>
      </c>
      <c r="H25" s="4">
        <v>0.62</v>
      </c>
      <c r="I25" s="4">
        <v>41.67</v>
      </c>
    </row>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D$1:$D$1000">
    <filterColumn colId="0">
      <filters>
        <filter val="2023"/>
      </filters>
    </filterColumn>
  </autoFilter>
  <drawing r:id="rId1"/>
</worksheet>
</file>